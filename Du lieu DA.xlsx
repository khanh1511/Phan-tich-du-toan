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hu AI\Hoc Python\Antigravity\Phan tich du toan\"/>
    </mc:Choice>
  </mc:AlternateContent>
  <xr:revisionPtr revIDLastSave="0" documentId="13_ncr:1_{D2507F7F-D7D2-41EF-A4DD-6DFD60265D6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mau" sheetId="1" r:id="rId1"/>
  </sheets>
  <externalReferences>
    <externalReference r:id="rId2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" i="1" l="1"/>
  <c r="G1" i="1"/>
  <c r="H1" i="1"/>
  <c r="J1" i="1"/>
  <c r="I1" i="1"/>
</calcChain>
</file>

<file path=xl/sharedStrings.xml><?xml version="1.0" encoding="utf-8"?>
<sst xmlns="http://schemas.openxmlformats.org/spreadsheetml/2006/main" count="1614" uniqueCount="508">
  <si>
    <t>STT</t>
  </si>
  <si>
    <t>Mã số</t>
  </si>
  <si>
    <t>Tên công tác</t>
  </si>
  <si>
    <t>Đơn vị</t>
  </si>
  <si>
    <t>Khối lượng</t>
  </si>
  <si>
    <t>Đập bê tông</t>
  </si>
  <si>
    <t>Đào đất lớp 1B, bằng máy đào 1,6m3, đất cấp II (chuyển bãi thải)</t>
  </si>
  <si>
    <t>Vận chuyển đất bằng ôtô tự đổ 10 tấn trong phạm vi &lt;= 1000m, đất cấp II</t>
  </si>
  <si>
    <t>Vận chuyển đất bằng ô tô tự đổ 10T 4km tiếp theo trong phạm vi &lt;= 5km, đất cấp II</t>
  </si>
  <si>
    <t>Vận chuyển đất bằng ô tô tự đổ 10T 17km tiếp theo ngoài phạm vi 5km, đất cấp II</t>
  </si>
  <si>
    <t>San đất bãi thải bằng máy ủi 110 CV</t>
  </si>
  <si>
    <t>Đào đất lớp 1B, bằng máy đào 1,6m3, đất cấp II (chuyển về đắp Cầu máng CM3 - kênh Hàm Cần)</t>
  </si>
  <si>
    <t>Vận chuyển đất bằng ô tô tự đổ 10T 18.43km tiếp theo ngoài phạm vi 5km, đất cấp II</t>
  </si>
  <si>
    <t>Đào đất lớp 4, bằng máy đào 1,6m3, đất cấp II (chuyển bãi trữ)</t>
  </si>
  <si>
    <t>Đào đất lớp 4, bằng máy đào 1,6m3, đất cấp II (chuyển về đắp Cống tiêu CT1- kênh Hàm Cần)</t>
  </si>
  <si>
    <t>Vận chuyển đất bằng ô tô tự đổ 10T 14.23km tiếp theo ngoài phạm vi 5km, đất cấp II</t>
  </si>
  <si>
    <t>Đào đất lớp 4, bằng máy đào 1,6m3, đất cấp II (chuyển về đắp Cống tiêu CT4- kênh Hàm Cần)</t>
  </si>
  <si>
    <t>Vận chuyển đất bằng ô tô tự đổ 10T 15.18km tiếp theo ngoài phạm vi 5km, đất cấp II</t>
  </si>
  <si>
    <t>Đào đất lớp 5, bằng máy đào 1,6m3, đất cấp II (chuyển về đắp Cống tiêu CT4- kênh Hàm Cần)</t>
  </si>
  <si>
    <t>Đào đất lớp 5, bằng máy đào 1,6m3, đất cấp II (chuyển về đắp Cầu máng CM1- kênh Hàm Cần)</t>
  </si>
  <si>
    <t>Vận chuyển đất bằng ô tô tự đổ 10T 16.07km tiếp theo ngoài phạm vi 5km, đất cấp II</t>
  </si>
  <si>
    <t>Đào đất lớp 5, bằng máy đào 1,6m3, đất cấp II (chuyển về đắp Cầu máng CM2- kênh Hàm Cần)</t>
  </si>
  <si>
    <t>Vận chuyển đất bằng ô tô tự đổ 10T 16.78km tiếp theo ngoài phạm vi 5km, đất cấp II</t>
  </si>
  <si>
    <t>Đào đất lớp 5, bằng máy đào 1,6m3, đất cấp II (chuyển về đắp Cống tiêu CT3- kênh Hàm Cần)</t>
  </si>
  <si>
    <t>Vận chuyển đất bằng ô tô tự đổ 10T 18.12km tiếp theo ngoài phạm vi 5km, đất cấp II</t>
  </si>
  <si>
    <t>Đào đất lớp 5, bằng máy đào 1,6m3, đất cấp II (chuyển về đắp Cầu máng CM3- kênh Hàm Cần)</t>
  </si>
  <si>
    <t>Đào đất lớp 6, bằng máy đào 1,6m3, đất cấp IV (chuyển bãi thải)</t>
  </si>
  <si>
    <t>Vận chuyển đất bằng ôtô tự đổ 10 tấn trong phạm vi &lt;= 1000m, đất cấp IV</t>
  </si>
  <si>
    <t>Vận chuyển đất bằng ô tô tự đổ 10T 4km tiếp theo trong phạm vi &lt;= 5km, đất cấp IV</t>
  </si>
  <si>
    <t>Vận chuyển đất bằng ô tô tự đổ 10T 17km tiếp theo ngoài phạm vi 5km, đất cấp IV</t>
  </si>
  <si>
    <t>Phá đá lớp 7A bằng máy khoan D76mm, đá cấp IV</t>
  </si>
  <si>
    <t>Phá đá lớp 7A bằng máy khoan D42mm, đá cấp IV</t>
  </si>
  <si>
    <t>Đào phá đá lớp 7A dùng búa căn khí nén 3m3/ph, đá cấp IV</t>
  </si>
  <si>
    <t>Ðào đá cấp IV móng công trình bằng máy đào 1,6m3</t>
  </si>
  <si>
    <t>Xúc đá sau nổ mìn lên phương tiện vận chuyển, bằng máy đào 1,6m3</t>
  </si>
  <si>
    <t>Vận chuyển đá sau nổ mìn bằng ôtô tự đổ 10 tấn trong phạm vi &lt;= 1000m</t>
  </si>
  <si>
    <t>Vận chuyển đá sau nổ mìn bằng ôtô tự đổ 10T 4km tiếp theo trong phạm vi &lt;= 5km</t>
  </si>
  <si>
    <t>Vận chuyển đá sau nổ mìn bằng ôtô tự đổ 10T 17km tiếp theo ngoài phạm vi 5km</t>
  </si>
  <si>
    <t>San đá bãi thải bằng máy ủi 110 CV</t>
  </si>
  <si>
    <t>Phá đá lớp 7 bằng máy khoan D76mm, đá cấp III</t>
  </si>
  <si>
    <t>Phá đá lớp 7 bằng máy khoan D42mm, đá cấp III</t>
  </si>
  <si>
    <t>Đào phá đá lớp 7 dùng búa căn khí nén 3m3/ph, đá cấp III</t>
  </si>
  <si>
    <t>Đào xúc đất để đắp  bằng máy đào 1,6m3, đất cấp II</t>
  </si>
  <si>
    <t>San đầm đất bằng máy lu 16 tấn, độ chặt yêu cầu K=0,95</t>
  </si>
  <si>
    <t>Đắp đất công trình bằng đầm đất cầm tay 70kg, độ chặt yêu cầu K=0,95</t>
  </si>
  <si>
    <t>Sản xuất vữa bê tông bằng trạm trộn tại hiện trường, công suất trạm trộn &lt;= 120m3/h</t>
  </si>
  <si>
    <t>Vận chuyển vữa bê tông bằng ôtô chuyển trộn, cự ly &lt;= 1,0km, ôtô 6m3</t>
  </si>
  <si>
    <t>BTCT bản đáy đổ bằng cần cẩu 10T, đá 1x2,  M250 - W6</t>
  </si>
  <si>
    <t>Cốt thép bản đáy, đường kính cốt thép &lt;= 18mm</t>
  </si>
  <si>
    <t>Cốt thép bản đáy, đường kính cốt thép &gt; 18mm</t>
  </si>
  <si>
    <t>Ván khuôn thép bản đáy</t>
  </si>
  <si>
    <t>BTCT bản đáy vai đập, đổ bằng cần trục tháp 25T, đá 1x2, vữa BT M250 - W6</t>
  </si>
  <si>
    <t>Công tác cốt thép, đường kính cốt thép &lt;= 18mm</t>
  </si>
  <si>
    <t>Công tác cốt thép, đường kính cốt thép &gt; 18mm</t>
  </si>
  <si>
    <t xml:space="preserve">Ván khuôn thép </t>
  </si>
  <si>
    <t>BTCT tường, đổ bằng cần cẩu 10T, đá 1x2, vữa BT M250 - W6</t>
  </si>
  <si>
    <t>Cốt thép tường, đường kính cốt thép &lt;= 18mm</t>
  </si>
  <si>
    <t>Cốt thép tường, đường kính cốt thép &gt; 18mm</t>
  </si>
  <si>
    <t>Ván khuôn thép tường</t>
  </si>
  <si>
    <t>BTCT tường, đổ bằng cần trục tháp 25T, đá 1x2, vữa BT M250 - W6</t>
  </si>
  <si>
    <t>BTCT mặt đập đổ bằng cần cẩu 10T, đá 1x2,  M250 - W6</t>
  </si>
  <si>
    <t>Cốt thép mặt đập, đường kính cốt thép &lt;= 18mm</t>
  </si>
  <si>
    <t>Cốt thép mặt đập, đường kính cốt thép &gt; 18mm</t>
  </si>
  <si>
    <t>BTCT mặt đập, đổ bằng cần trục tháp 25T, đá 1x2, vữa BT M250 - W6</t>
  </si>
  <si>
    <t xml:space="preserve">BTCT đáy cống dẫn dòng, đổ bằng cần trục tháp 25T, đá 1x2, vữa BT M250 </t>
  </si>
  <si>
    <t xml:space="preserve">BTCT tường cống, đổ bằng cần trục tháp 25T, đá 1x2, vữa BT M250 </t>
  </si>
  <si>
    <t>BTCT trần cống, đổ bằng cần trục tháp 25T, đá 1x2, vữa BT M250</t>
  </si>
  <si>
    <t>Cốt thép trần, sàn, đường kính cốt thép &gt; 10mm</t>
  </si>
  <si>
    <t>Ván khuôn thép trần, sàn</t>
  </si>
  <si>
    <t xml:space="preserve">BTCT đáy hành lang đổ bằng cần cẩu 10T, đá 1x2,  M250 </t>
  </si>
  <si>
    <t>Cốt thép đáy hành lang, đường kính cốt thép &lt;= 18mm</t>
  </si>
  <si>
    <t>Cốt thép đáy hành lang, đường kính cốt thép &gt; 18mm</t>
  </si>
  <si>
    <t xml:space="preserve">BTCT đáy hành lang, đổ bằng cần trục tháp 25T, đá 1x2, vữa BT M250 </t>
  </si>
  <si>
    <t>BTCT tường hành lang, đổ bằng cần cẩu 10T, đá 1x2, vữa BT M250</t>
  </si>
  <si>
    <t>BTCT tường hành lang, đổ bằng cần trục tháp 25T, đá 1x2, vữa BT M250</t>
  </si>
  <si>
    <t>BTCT trần hành lang, đổ bằng cần cẩu 10T, đá 1x2, vữa BT M250</t>
  </si>
  <si>
    <t>BTCT trần hành lang, đổ bằng cần trục tháp 25T, đá 1x2, vữa BT M250</t>
  </si>
  <si>
    <t>Cốt thép hành lang, đường kính cốt thép &gt; 10mm</t>
  </si>
  <si>
    <t>Ván khuôn thép trần</t>
  </si>
  <si>
    <t>BTCT cột giàn van cống dẫn dòng, đổ bằng cần trục tháp 25T, đá 1x2, vữa BT M250</t>
  </si>
  <si>
    <t>Cốt thép cột giàn van , đường kính cốt thép &lt;= 10mm</t>
  </si>
  <si>
    <t>Cốt thép cột giàn van , đường kính cốt thép &lt;= 18mm</t>
  </si>
  <si>
    <t>Ván khuôn thép cột</t>
  </si>
  <si>
    <t>BTCT sàn giàn van cống dẫn dòng, đổ bằng cần trục tháp 25T, đá 1x2, vữa BT M250</t>
  </si>
  <si>
    <t xml:space="preserve">BTCT dầm giàn van cống dẫn dòng, đổ bằng cần trục tháp 25T, đá 1x2, vữa BT M250 </t>
  </si>
  <si>
    <t>Cốt thép dầm giàn van, đường kính cốt thép &lt;= 10mm</t>
  </si>
  <si>
    <t>Cốt thép dầm giàn van, đường kính cốt thép &lt;= 18mm</t>
  </si>
  <si>
    <t>Ván khuôn thép dầm</t>
  </si>
  <si>
    <t>BTCT sân hạ lưu tràn đổ bằng cần cẩu 10T, đá 1x2, vữa BT M250.</t>
  </si>
  <si>
    <t>Cốt thép sân tiêu năng, đường kính cốt thép &lt;= 18mm</t>
  </si>
  <si>
    <t xml:space="preserve">BTCT bản đáy buồng van cống lấy nước, đổ bằng cần cẩu 10T, đá 1x2,  M250 </t>
  </si>
  <si>
    <t>Cốt thép bản đáy cống lấy nước, đường kính cốt thép &lt;= 18mm</t>
  </si>
  <si>
    <t>Cốt thép bản đáy cống lấy nước, đường kính cốt thép &gt; 18mm</t>
  </si>
  <si>
    <t xml:space="preserve">BTCT tường buồng van cống lấy nước, đổ bằng cần cẩu 10T, đá 1x2,  M250 </t>
  </si>
  <si>
    <t>Cốt thép tường cống lấy nước, đường kính cốt thép &lt;= 18mm</t>
  </si>
  <si>
    <t>Cốt thép tường cống lấy nước, đường kính cốt thép &gt; 18mm</t>
  </si>
  <si>
    <t xml:space="preserve">BTCT sàn buồng van cống lấy nước, đổ bằng cần cẩu 10T, đá 1x2,  M250 </t>
  </si>
  <si>
    <t>Cốt thép sàn cống lấy nước, đường kính cốt thép &gt; 10mm</t>
  </si>
  <si>
    <t>Ván khuôn thép sàn</t>
  </si>
  <si>
    <t xml:space="preserve">BTCT dầm buồng van cống lấy nước, đổ bằng cần cẩu 10T, đá 1x2,  M250 </t>
  </si>
  <si>
    <t>Cốt thép dầm buồng van cống lấy nước, đường kính cốt thép &lt;= 10mm</t>
  </si>
  <si>
    <t>Cốt thép dầm buồng van cống lấy nước, đường kính cốt thép &lt;= 18mm</t>
  </si>
  <si>
    <t xml:space="preserve">BTCT cột buồng van cống lấy nước, đổ bằng cần cẩu 10T, đá 1x2,  M250 </t>
  </si>
  <si>
    <t>Cốt thép cột buồng van cống lấy nước, đường kính cốt thép &lt;= 10mm</t>
  </si>
  <si>
    <t>Cốt thép cột buồng van cống lấy nước, đường kính cốt thép &lt;= 18mm</t>
  </si>
  <si>
    <t xml:space="preserve">BTCT cầu thang buồng van cống lấy nước, đổ bằng cần cẩu 10T, đá 1x2,  M250 </t>
  </si>
  <si>
    <t>Cốt thép cầu thang buồng van cống lấy nước, đường kính cốt thép &lt;= 10mm</t>
  </si>
  <si>
    <t>Cốt thép cầu thang buồng van cống lấy nước, đường kính cốt thép &lt;= 18mm</t>
  </si>
  <si>
    <t>Ván khuôn thép cầu thang</t>
  </si>
  <si>
    <t xml:space="preserve">BTCT bản đáy (tường kênh hạ lưu cống lấy nước + tường chắn đất giáp đoạn 5), đổ bằng cần cẩu 10T, đá 1x2,  M250 </t>
  </si>
  <si>
    <t>Cốt thép bản đáy , đường kính cốt thép &lt;= 18mm</t>
  </si>
  <si>
    <t>Cốt thép bản đáy , đường kính cốt thép &gt; 18mm</t>
  </si>
  <si>
    <t>BTCT tường (kênh hạ lưu cống lấy nước+ tường chắn đất giáp đoạn 5), đổ bằng cần cẩu 10T, đá 1x2, vữa BT M250</t>
  </si>
  <si>
    <t>BTCT tai van, đổ bằng cần trục tháp 25T, đá 1x2, vữa BT M250</t>
  </si>
  <si>
    <t>Công tác cốt thép, đường kính cốt thép &lt;= 10mm</t>
  </si>
  <si>
    <t>BTCT sàn công tác tại +135.4, đổ bằng cần trục tháp 25T, đá 1x2, vữa BT M250</t>
  </si>
  <si>
    <t>BTCT cầu thả phai tại +139.35, đổ bằng cần trục tháp 25T, đá 1x2, vữa BT M250</t>
  </si>
  <si>
    <t>Sản xuất cấu kiện bê tông đúc sẵn, bê tông tấm nắp... đá 1x2, vữa BT M250</t>
  </si>
  <si>
    <t>Cốt thép tấm nắp</t>
  </si>
  <si>
    <t>Ván khuôn tấm nắp</t>
  </si>
  <si>
    <t>Lắp đặt cấu kiện bê tông đúc sẵn trọng lượng &gt; 50kg bằng cần cẩu</t>
  </si>
  <si>
    <t>BTCT dầm dọc, đổ bằng cần trục tháp 25T, đá 1x2, vữa BT M300</t>
  </si>
  <si>
    <t>BTCT dầm ngang, đổ bằng cần trục tháp 25T, đá 1x2, vữa BT M300</t>
  </si>
  <si>
    <t>BTCT sàn, đổ bằng cần trục tháp 25T, đá 1x2, vữa BT M300</t>
  </si>
  <si>
    <t>Cốt thép sàn, đường kính cốt thép &gt; 10mm</t>
  </si>
  <si>
    <t>BTCT gờ gối, đổ bằng cần trục tháp 25T, đá 1x2, vữa BT M300</t>
  </si>
  <si>
    <t xml:space="preserve">Thép khe co giãn </t>
  </si>
  <si>
    <t>Gia công thang lồng</t>
  </si>
  <si>
    <t>Lắp đặt thang lồng</t>
  </si>
  <si>
    <t>BTCT lan can đập, đổ bằng thủ công,  đá 1x2, vữa BT M250</t>
  </si>
  <si>
    <t>Cốt thép lan can đập, đường kính cốt thép &lt;= 10mm</t>
  </si>
  <si>
    <t>Ván khuôn thép</t>
  </si>
  <si>
    <t>Gia công lan can đập</t>
  </si>
  <si>
    <t>Lắp dựng lan can sắt</t>
  </si>
  <si>
    <t>Ống gang thoát nước D150</t>
  </si>
  <si>
    <t>Nắp đậy ống gang D150</t>
  </si>
  <si>
    <t>Lắp dựng dầm</t>
  </si>
  <si>
    <t>Thép tấm tạo phẳng</t>
  </si>
  <si>
    <t>Thép khe co giãn</t>
  </si>
  <si>
    <t>BTCT mặt tràn, đổ bằng cần trục tháp 25T, đá 1x2, vữa BT M300</t>
  </si>
  <si>
    <t xml:space="preserve">BTCT gia cố mái, đổ bằng cần cẩu 10T, đá 1x2,  M250 </t>
  </si>
  <si>
    <t>công tác cốt thép, đường kính cốt thép &lt;=18mm</t>
  </si>
  <si>
    <t>Ván khuôn thép mái</t>
  </si>
  <si>
    <t xml:space="preserve">BT thân đập, đổ bằng cần cẩu 10T, đá 4x6, vữa BT M150 </t>
  </si>
  <si>
    <t xml:space="preserve">BT thân đập, đổ bằng cần trục tháp 25T, đá 4x6, vữa BT M150 </t>
  </si>
  <si>
    <t>Bê tông bậc thang, đổ bằng thủ công, đá 1x2, vữa BT M200</t>
  </si>
  <si>
    <t>Bê tông rãnh tiêu nước, đổ bằng thủ công, đá 1x2, vữa BT M200 (bỏ máy trộn)</t>
  </si>
  <si>
    <t>Bê tông lót móng, đổ bằng cần cẩu 10T,  đá 1x2, vữa BT M200</t>
  </si>
  <si>
    <t xml:space="preserve">BT lót đáy đập, đổ bằng cần trục tháp 25T, đá 1x2, vữa BT M200 </t>
  </si>
  <si>
    <t xml:space="preserve">BT gia cố mặt đập, cơ, đổ bằng cần cẩu 10T, đá 1x2,  M200 </t>
  </si>
  <si>
    <t>Bê tông lót móng, đổ bằng cần cẩu 10T,  đá 1x2, vữa BT M150</t>
  </si>
  <si>
    <t>Quét nhựa bitum và dán giấy dầu, 2 lớp giấy 3 lớp nhựa</t>
  </si>
  <si>
    <t>Thi công khớp nối bằng tấm nhựa PVC</t>
  </si>
  <si>
    <t>Thi công khớp nối  Sika O32Y</t>
  </si>
  <si>
    <t>Thi công khớp nối bằng đồng, kiểu II</t>
  </si>
  <si>
    <t>Gia công lan can</t>
  </si>
  <si>
    <t>Bê tông hoành triệt cống dẫn dòng, đổ bằng máy bơm bê tông,  vữa BT M300</t>
  </si>
  <si>
    <t>Lắp đặt ống nhựa HDPE phương pháp hàn gia nhiệt, đường kính ống 710mm chiều dày 52,2mm - PN12</t>
  </si>
  <si>
    <t>Gia công đoạn ống thép dạng hình trụ DN900mm, độ dày 19.05mm, trọng lượng 407.2kg/m (ống bảo vệ ống HDPE)</t>
  </si>
  <si>
    <t>Lắp đặt kết cấu thép dạng hình trụ, hình ống (ống bảo vệ ống HDPE)</t>
  </si>
  <si>
    <t>Khoan lỗ D05mm ống thoát nước</t>
  </si>
  <si>
    <t>Nilon lót (VD)</t>
  </si>
  <si>
    <t>Đắp cát công trình bằng máy đầm đất cầm tay 70kg, độ chặt yêu cầu K=0,95</t>
  </si>
  <si>
    <t>Rải thảm mặt đường bê tông nhựa (loại C&lt;= 12,5), chiều dày mặt đường đã lèn ép 7cm</t>
  </si>
  <si>
    <t>Tưới lớp dính bám mặt đường bằng nhũ tương gốc axít, lượng nhũ tương 1,0 kg/m2</t>
  </si>
  <si>
    <t>Thi công tầng lọc bằng đá dăm 4x6</t>
  </si>
  <si>
    <t>Thi công tầng lọc bằng đá dăm 1x2</t>
  </si>
  <si>
    <t>Thi công tầng lọc bằng cát</t>
  </si>
  <si>
    <t>Lắp đặt ống nhựa PVC D50mm</t>
  </si>
  <si>
    <t>Lắp đặt gối cầu, loại gối cao su</t>
  </si>
  <si>
    <t>Bulon neo</t>
  </si>
  <si>
    <t>Lắp đặt khe co giãn mặt cầu bằng cao su, loại dầm đúc sẵn</t>
  </si>
  <si>
    <t>Gia công cửa lưới thép</t>
  </si>
  <si>
    <t>TỔNG CỘNG: Đập bê tông</t>
  </si>
  <si>
    <t>Nhà vận hành van cung</t>
  </si>
  <si>
    <t>BTCT cột, đổ bằng thủ công,  đá 1x2, vữa BT M250</t>
  </si>
  <si>
    <t>Cốt thép cột, trụ, đường kính cốt thép &lt;= 10mm</t>
  </si>
  <si>
    <t>Cốt thép cột, trụ, đường kính cốt thép &lt;= 18mm</t>
  </si>
  <si>
    <t>Cốt thép cột, trụ, đường kính cốt thép &gt; 18mm</t>
  </si>
  <si>
    <t>Ván khuôn cột vuông, chữ nhật</t>
  </si>
  <si>
    <t>BTCT dầm, đổ bằng thủ công, đá 1x2, vữa BT M200</t>
  </si>
  <si>
    <t>Cốt thép dầm, đường kính cốt thép &lt;= 10mm</t>
  </si>
  <si>
    <t>Cốt thép dầm, đường kính cốt thép &lt;= 18mm</t>
  </si>
  <si>
    <t>Cốt thép dầm, đường kính cốt thép &gt; 18mm</t>
  </si>
  <si>
    <t>Ván khuôn dầm</t>
  </si>
  <si>
    <t>BTCT sàn mái, đổ bằng thủ công, đá 1x2, vữa BT M250</t>
  </si>
  <si>
    <t>Cốt thép sàn mái, đường kính cốt thép D&lt;=10mm</t>
  </si>
  <si>
    <t>Ván khuôn sàn mái</t>
  </si>
  <si>
    <t>BTCT lanh tô, đổ bằng thủ công,  đá 1x2, vữa BT M250</t>
  </si>
  <si>
    <t>Cốt thép lanh tô, đường kính cốt thép &lt;= 10mm</t>
  </si>
  <si>
    <t>Cốt thép lanh tô, đường kính cốt thép &gt; 10mm</t>
  </si>
  <si>
    <t>Ván khuôn lanh tô</t>
  </si>
  <si>
    <t>Xây tường thẳng gạch bê tông (19x19x39)cm,  vữa XM mác 75</t>
  </si>
  <si>
    <t>Lắp đặt ống nhựa PVC, đường kính ống 100mm</t>
  </si>
  <si>
    <t>Cầu chắn rác</t>
  </si>
  <si>
    <t>Trát tường ngoài, chiều dày trát 1,5cm, vữa XM mác 75</t>
  </si>
  <si>
    <t>Trát tường trong, chiều dày trát 1,5cm, vữa XM mác 75</t>
  </si>
  <si>
    <t>Sơn dầm, trần, cột, tường trong nhà không bả bằng sơn các loại, 1 nước lót, 2 nước phủ</t>
  </si>
  <si>
    <t>Sơn dầm, trần, cột, tường ngoài nhà không bả bằng sơn các loại, 1 nước lót, 2 nước phủ</t>
  </si>
  <si>
    <t>Lợp mái che tường bằng tôn múi chiều dài &lt;= 2 m</t>
  </si>
  <si>
    <t>Cửa sổ KT 2.1x2.0</t>
  </si>
  <si>
    <t>Cửa cuốn KT 1.6x2.8</t>
  </si>
  <si>
    <t>Lắp dựng cửa sắt xếp, cửa cuốn</t>
  </si>
  <si>
    <t>Gia công cửa sắt, hoa sắt</t>
  </si>
  <si>
    <t>Lắp dựng hoa sắt cửa</t>
  </si>
  <si>
    <t>Sơn sắt thép bằng sơn các loại, 1 nước lót, 2 nước phủ</t>
  </si>
  <si>
    <t>Gia công xà gồ thép</t>
  </si>
  <si>
    <t>Lắp dựng xà gồ thép</t>
  </si>
  <si>
    <t>Gia công cửa sổ thép hình</t>
  </si>
  <si>
    <t>TỔNG CỘNG: Nhà vận hành van cung</t>
  </si>
  <si>
    <t>Nhà vận hành cống lấy nước</t>
  </si>
  <si>
    <t>Lát nền, sàn, tiết diện gạch &lt;=0,36m2</t>
  </si>
  <si>
    <t>Xây tường thẳng bằng gạch thông gió 20x20cm, vữa XM mác 75</t>
  </si>
  <si>
    <t>Lợp mái ngói 22 v/m2, chiều cao &lt;= 16 m</t>
  </si>
  <si>
    <t>Ngói úp nóc</t>
  </si>
  <si>
    <t>Láng nền sàn không đánh màu, chiều dày 2cm, vữa XM mác 100</t>
  </si>
  <si>
    <t>Bả bằng bột bả vào tường</t>
  </si>
  <si>
    <t>Bả bằng bột bả vào cột, dầm, trần</t>
  </si>
  <si>
    <t>Cửa sổ khung sắt mica</t>
  </si>
  <si>
    <t>Cửa đi khung sắt mica</t>
  </si>
  <si>
    <t>Công tác ốp gạch vào tường</t>
  </si>
  <si>
    <t>Sơn diềm mái</t>
  </si>
  <si>
    <t>Bản lề</t>
  </si>
  <si>
    <t>Chốt cửa</t>
  </si>
  <si>
    <t>Khóa cửa</t>
  </si>
  <si>
    <t>Gia công thang sắt</t>
  </si>
  <si>
    <t>Lắp đặt thang sắt</t>
  </si>
  <si>
    <t>Bulon đai ốc</t>
  </si>
  <si>
    <t>Mạ kẽm nhúng nóng</t>
  </si>
  <si>
    <t>TỔNG CỘNG: Nhà vận hành cống lấy nước</t>
  </si>
  <si>
    <t>Nhà vận hành van côn</t>
  </si>
  <si>
    <t>Cốt thép sàn mái, đường kính cốt thép D&gt;10mm</t>
  </si>
  <si>
    <t>Cửa sổ KT1.2x1.8</t>
  </si>
  <si>
    <t>Cửa cuốn KT 3x4</t>
  </si>
  <si>
    <t>Gia công kim thu sét, chiều dài kim 2,0m</t>
  </si>
  <si>
    <t>Lắp đặt kim thu sét, chiều dài kim 2,0m</t>
  </si>
  <si>
    <t>Đóng cọc chống sét đã có sẵn</t>
  </si>
  <si>
    <t>Kéo rải dây chống sét theo tường, cột và mái nhà, loại dây đồng D8mm</t>
  </si>
  <si>
    <t>Gia công cột bằng thép hình</t>
  </si>
  <si>
    <t>Đai sắt</t>
  </si>
  <si>
    <t>Tôn úp nóc</t>
  </si>
  <si>
    <t>TỔNG CỘNG: Nhà vận hành van côn</t>
  </si>
  <si>
    <t>TỔNG HẠNG MỤC</t>
  </si>
  <si>
    <t>Bằng chữ: Một trăm sáu mươi hai tỷ bốn trăm sáu mươi lăm triệu tám trăm bảy mươi bảy nghìn hai trăm bảy mươi ba đồng chẵn./.</t>
  </si>
  <si>
    <t>Đường lên vai trái đập</t>
  </si>
  <si>
    <t>Đào đất nền đường lớp 1B, 3B, bằng máy đào 1,6m3, đất cấp II</t>
  </si>
  <si>
    <t>Đào đất nền đường lớp 4, bằng máy đào 1,6m3, đất cấp II</t>
  </si>
  <si>
    <t>Đào đất nền đường lớp 5, bằng máy đào 1,6m3, đất cấp II</t>
  </si>
  <si>
    <t>Đào đất lớp 6, bằng máy đào 1,6m3, đất cấp IV</t>
  </si>
  <si>
    <t>Đào rãnh thoát nước bằng thủ công,  đất cấp II</t>
  </si>
  <si>
    <t>Đào khuôn đường bằng máy đào 1,6m3, đất cấp II</t>
  </si>
  <si>
    <t>Đắp đất nền đường bằng máy lu bánh thép 9 tấn, độ chặt yêu cầu K=0,95 (tận dụng đất đào)</t>
  </si>
  <si>
    <t>Bê tông mặt đường, đổ thủ công, đá 1x2, vữa BT M250</t>
  </si>
  <si>
    <t>Ván khuôn thép, ván khuôn mặt đường</t>
  </si>
  <si>
    <t>Rải nilon lót (vận dụng)</t>
  </si>
  <si>
    <t>Thi công móng cấp phối đá dăm lớp dưới, độ chặt yêu cầu K &gt;= 0,95</t>
  </si>
  <si>
    <t xml:space="preserve">Bê tông rãnh tiêu nước,  đổ thủ công, đá 1x2, vữa BT M200 </t>
  </si>
  <si>
    <t>Matit chèn khe</t>
  </si>
  <si>
    <t>TỔNG CỘNG: Đường lên vai trái đập</t>
  </si>
  <si>
    <t>Đường vào hành lang khoan phụt + Cống lấy nước</t>
  </si>
  <si>
    <t>Đào nền đường lớp 6 bằng máy đào 1,6m3, đất cấp IV</t>
  </si>
  <si>
    <t xml:space="preserve">Bê tông mặt đường, đổ thủ công, đá 1x2, vữa BT M250 </t>
  </si>
  <si>
    <t>Bê tông rãnh tiêu nước,  đổ thủ công, đá 1x2, vữa BT M200</t>
  </si>
  <si>
    <t>TỔNG CỘNG: Đường vào hành lang khoan phụt + Cống lấy nước</t>
  </si>
  <si>
    <t>Bằng chữ: Tám tỷ sáu trăm sáu mươi ba triệu năm trăm mười ba nghìn không trăm năm mươi tám đồng chẵn./.</t>
  </si>
  <si>
    <t>Đường phục vụ thi công</t>
  </si>
  <si>
    <t>Đào bóc hữu cơ bằng máy đào 1,6m3, đất cấp I</t>
  </si>
  <si>
    <t>Vận chuyển đất bằng ôtô tự đổ 10 tấn trong phạm vi &lt;= 1000m, đất cấp I</t>
  </si>
  <si>
    <t>Vận chuyển đất bằng ô tô tự đổ 10T 4km tiếp theo trong phạm vi &lt;= 5km, đất cấp I</t>
  </si>
  <si>
    <t>Vận chuyển đất bằng ô tô tự đổ 10T 17km tiếp theo ngoài phạm vi 5km, đất cấp I</t>
  </si>
  <si>
    <t>Đào đất nền đường lớp 1, 1B, bằng máy đào 1,6m3, đất cấp II</t>
  </si>
  <si>
    <t>Đào khuôn đường bằng thủ công, đất cấp II</t>
  </si>
  <si>
    <t>Đào nền đường lớp 4, 5, bằng máy đào 1,6m3, đất cấp III</t>
  </si>
  <si>
    <t>Đào khuôn đường bằng thủ công, đất cấp III</t>
  </si>
  <si>
    <t>Vận chuyển đất bằng ôtô tự đổ 10 tấn trong phạm vi &lt;= 1000m, đất cấp III</t>
  </si>
  <si>
    <t>Vận chuyển đất bằng ô tô tự đổ 10T 4km tiếp theo trong phạm vi &lt;= 5km, đất cấp III</t>
  </si>
  <si>
    <t>Vận chuyển đất bằng ô tô tự đổ 10T 17km tiếp theo ngoài phạm vi 5km, đất cấp III</t>
  </si>
  <si>
    <t>Đào khuôn đường bằng thủ công, đất cấp IV</t>
  </si>
  <si>
    <t>Phá đá bằng thủ công, chiều dày lớp đá &lt;= 0,5m, đá cấp IV</t>
  </si>
  <si>
    <t>Đá hộc (VL)</t>
  </si>
  <si>
    <t>Đắp đá hỗn hợp công trình bằng máy ủi 180CV</t>
  </si>
  <si>
    <t>Thi công móng cấp phối đá dăm lớp trên, độ chặt yêu cầu K &gt;= 0,95</t>
  </si>
  <si>
    <t>Lắp đặt ống bê tông bằng cần cẩu, đoạn ống dài 1m, đường kính 1500mm</t>
  </si>
  <si>
    <t>Xếp rọ đá (đan rọ) trên cạn bằng thủ công. Loại rọ 2x1x0,5m (ĐM 08/2025/TT-BXD)</t>
  </si>
  <si>
    <t>TỔNG CỘNG: Đường phục vụ thi công</t>
  </si>
  <si>
    <t>Đê quai PVTC</t>
  </si>
  <si>
    <t>Đào móng lớp 1A, bằng máy đào 1,6m3, đất cấp II</t>
  </si>
  <si>
    <t>Đắp đê quai bằng máy lu bánh thép 9 tấn, dung trọng &lt;=1,65 tấn/m3 (tận dụng đất đào)</t>
  </si>
  <si>
    <t>Đắp đê quai bằng máy lu bánh thép 9 tấn, dung trọng &lt;=1,65 tấn/m3 (tận dụng đất đào đường PVTC)</t>
  </si>
  <si>
    <t xml:space="preserve">Xếp đá khan </t>
  </si>
  <si>
    <t>Dăm lót</t>
  </si>
  <si>
    <t>Rải vải địa kỹ thuật làm nền đường, mái đê, đập</t>
  </si>
  <si>
    <t>Bê tông bản đáy tường hướng dòng, đổ bằng thủ công,  đá 1x2, vữa BT M200</t>
  </si>
  <si>
    <t>Ván khuôn thép, ván khuôn móng dài</t>
  </si>
  <si>
    <t>Bê tông tường hướng dòng, đổ bằng thủ công,  đá 1x2, vữa BT M200</t>
  </si>
  <si>
    <t>Ván khuôn tường</t>
  </si>
  <si>
    <t>Đắp bao tải đất, cát bằng thủ công ở dưới nước - Đắp đê quây, bờ bao, bờ chống tràn (tận dụng đất đào đường PVTC)</t>
  </si>
  <si>
    <t>Bạt dứa (VD)</t>
  </si>
  <si>
    <t>TỔNG CỘNG: Đê quai PVTC</t>
  </si>
  <si>
    <t>Bằng chữ: Ba tỷ tám trăm mười một triệu bảy trăm tám mươi sáu nghìn năm trăm linh sáu đồng chẵn./.</t>
  </si>
  <si>
    <t>Vận chuyển gỗ các loại bằng ô tô vận tải thùng 12T, cự ly vận chuyển &lt;= 1km</t>
  </si>
  <si>
    <t>Vận chuyển đất bằng ôtô tự đổ 12 tấn trong phạm vi &lt;= 300m, đất cấp II</t>
  </si>
  <si>
    <t>TỔNG CÔNG TRÌNH</t>
  </si>
  <si>
    <t>LÀM TRÒN</t>
  </si>
  <si>
    <t>Bằng chữ: Một trăm bảy mươi tư tỷ chín trăm bốn mươi mốt triệu một trăm bảy mươi bảy nghìn đồng chẵn./.</t>
  </si>
  <si>
    <t>Vật liệu
(đ)</t>
  </si>
  <si>
    <t>Nhân công
(đ)</t>
  </si>
  <si>
    <t>Máy
(đ)</t>
  </si>
  <si>
    <t>Đơn giá
(đ)</t>
  </si>
  <si>
    <t>Thành tiền
(đ)</t>
  </si>
  <si>
    <t>*</t>
  </si>
  <si>
    <t>AB.25432</t>
  </si>
  <si>
    <t>100m3</t>
  </si>
  <si>
    <t>AB.41432</t>
  </si>
  <si>
    <t>AB.42132</t>
  </si>
  <si>
    <t>100m3/km</t>
  </si>
  <si>
    <t>AB.42232</t>
  </si>
  <si>
    <t>AB.34110</t>
  </si>
  <si>
    <t>AB.25434</t>
  </si>
  <si>
    <t>AB.41434</t>
  </si>
  <si>
    <t>AB.42134</t>
  </si>
  <si>
    <t>AB.42234</t>
  </si>
  <si>
    <t>AB.51224</t>
  </si>
  <si>
    <t>AB.51214</t>
  </si>
  <si>
    <t>AB.51614</t>
  </si>
  <si>
    <t>m3</t>
  </si>
  <si>
    <t>TLB.12334</t>
  </si>
  <si>
    <t>AB.52131</t>
  </si>
  <si>
    <t>AB.53431</t>
  </si>
  <si>
    <t>AB.54131</t>
  </si>
  <si>
    <t>AB.54231</t>
  </si>
  <si>
    <t>AB.34120</t>
  </si>
  <si>
    <t>AB.51223</t>
  </si>
  <si>
    <t>AB.51213</t>
  </si>
  <si>
    <t>AB.51613</t>
  </si>
  <si>
    <t>AB.24142</t>
  </si>
  <si>
    <t>AB.62123</t>
  </si>
  <si>
    <t>AB.65130</t>
  </si>
  <si>
    <t>AF.51170</t>
  </si>
  <si>
    <t>AF.52121</t>
  </si>
  <si>
    <t>AF.21223</t>
  </si>
  <si>
    <t>AF.61120</t>
  </si>
  <si>
    <t>tấn</t>
  </si>
  <si>
    <t>AF.61130</t>
  </si>
  <si>
    <t>AF.82511</t>
  </si>
  <si>
    <t>100m2</t>
  </si>
  <si>
    <t>AF.22163</t>
  </si>
  <si>
    <t>AF.61322</t>
  </si>
  <si>
    <t>AF.61332</t>
  </si>
  <si>
    <t>AF.86211</t>
  </si>
  <si>
    <t>AF.22153</t>
  </si>
  <si>
    <t>AF.61321</t>
  </si>
  <si>
    <t>AF.61331</t>
  </si>
  <si>
    <t>AF.22323</t>
  </si>
  <si>
    <t>AF.61721</t>
  </si>
  <si>
    <t>AF.86111</t>
  </si>
  <si>
    <t>AF.22313</t>
  </si>
  <si>
    <t>AF.22263</t>
  </si>
  <si>
    <t>AF.61412</t>
  </si>
  <si>
    <t>AF.61422</t>
  </si>
  <si>
    <t>AF.86361</t>
  </si>
  <si>
    <t>AF.61512</t>
  </si>
  <si>
    <t>AF.61522</t>
  </si>
  <si>
    <t>AF.86311</t>
  </si>
  <si>
    <t>AF.61511</t>
  </si>
  <si>
    <t>AF.61521</t>
  </si>
  <si>
    <t>AF.22214</t>
  </si>
  <si>
    <t>AF.61411</t>
  </si>
  <si>
    <t>AF.61421</t>
  </si>
  <si>
    <t>AF.21213</t>
  </si>
  <si>
    <t>AF.61532</t>
  </si>
  <si>
    <t>AG.11413</t>
  </si>
  <si>
    <t>AG.13231</t>
  </si>
  <si>
    <t>AG.32211</t>
  </si>
  <si>
    <t>AG.41610</t>
  </si>
  <si>
    <t>cấu kiện</t>
  </si>
  <si>
    <t>AF.22324</t>
  </si>
  <si>
    <t>AF.69210</t>
  </si>
  <si>
    <t>AI.11411</t>
  </si>
  <si>
    <t>AI.65431</t>
  </si>
  <si>
    <t>AF.14323</t>
  </si>
  <si>
    <t>AF.61110</t>
  </si>
  <si>
    <t>AI.21152</t>
  </si>
  <si>
    <t>AI.63211</t>
  </si>
  <si>
    <t>m2</t>
  </si>
  <si>
    <t>TT</t>
  </si>
  <si>
    <t xml:space="preserve">cái </t>
  </si>
  <si>
    <t>cái</t>
  </si>
  <si>
    <t>AG.41321</t>
  </si>
  <si>
    <t>AI.11132</t>
  </si>
  <si>
    <t>AF.22164</t>
  </si>
  <si>
    <t>AF.24212</t>
  </si>
  <si>
    <t>TLE.42302</t>
  </si>
  <si>
    <t>1 tấn</t>
  </si>
  <si>
    <t>AF.82611</t>
  </si>
  <si>
    <t>AF.22151</t>
  </si>
  <si>
    <t>AF.22161</t>
  </si>
  <si>
    <t>AF.12612</t>
  </si>
  <si>
    <t>AF.13212</t>
  </si>
  <si>
    <t>AF.21112</t>
  </si>
  <si>
    <t>AF.22162</t>
  </si>
  <si>
    <t>AF.21111</t>
  </si>
  <si>
    <t>AK.94231</t>
  </si>
  <si>
    <t>AL.41410</t>
  </si>
  <si>
    <t>m</t>
  </si>
  <si>
    <t>AL.41210</t>
  </si>
  <si>
    <t>AL.41320</t>
  </si>
  <si>
    <t>AI.11421</t>
  </si>
  <si>
    <t>AF.31124</t>
  </si>
  <si>
    <t>BB.46174</t>
  </si>
  <si>
    <t>100m</t>
  </si>
  <si>
    <t>AI.52121</t>
  </si>
  <si>
    <t>AI.65121</t>
  </si>
  <si>
    <t>AL.51110</t>
  </si>
  <si>
    <t>AL.16201</t>
  </si>
  <si>
    <t>AB.66143</t>
  </si>
  <si>
    <t>AD.23235</t>
  </si>
  <si>
    <t>AD.24223</t>
  </si>
  <si>
    <t>AK.96133</t>
  </si>
  <si>
    <t>AK.96131</t>
  </si>
  <si>
    <t>AK.96110</t>
  </si>
  <si>
    <t>BB.41105</t>
  </si>
  <si>
    <t>AL.25112</t>
  </si>
  <si>
    <t>AL.25122</t>
  </si>
  <si>
    <t>AI.11521</t>
  </si>
  <si>
    <t>AF.12222</t>
  </si>
  <si>
    <t>AF.61432</t>
  </si>
  <si>
    <t>AF.12312</t>
  </si>
  <si>
    <t>AF.12412</t>
  </si>
  <si>
    <t>AF.61711</t>
  </si>
  <si>
    <t>AF.12512</t>
  </si>
  <si>
    <t>AF.61612</t>
  </si>
  <si>
    <t>AF.61622</t>
  </si>
  <si>
    <t>AF.81152</t>
  </si>
  <si>
    <t>AE.81423</t>
  </si>
  <si>
    <t>BB.41108</t>
  </si>
  <si>
    <t>AK.21123</t>
  </si>
  <si>
    <t>AK.21223</t>
  </si>
  <si>
    <t>AK.84222</t>
  </si>
  <si>
    <t>AK.84224</t>
  </si>
  <si>
    <t>AK.12221</t>
  </si>
  <si>
    <t>AI.63111</t>
  </si>
  <si>
    <t>AI.11610</t>
  </si>
  <si>
    <t>AI.63221</t>
  </si>
  <si>
    <t>AK.83520</t>
  </si>
  <si>
    <t>AI.11221</t>
  </si>
  <si>
    <t>AI.61131</t>
  </si>
  <si>
    <t>AI.11431</t>
  </si>
  <si>
    <t>AK.51280</t>
  </si>
  <si>
    <t>AE.83113</t>
  </si>
  <si>
    <t>AK.11120</t>
  </si>
  <si>
    <t>AK.11220</t>
  </si>
  <si>
    <t>AK.41114</t>
  </si>
  <si>
    <t>AK.82510</t>
  </si>
  <si>
    <t>AK.82520</t>
  </si>
  <si>
    <t>AK.31120</t>
  </si>
  <si>
    <t>bộ</t>
  </si>
  <si>
    <t>BA.19404</t>
  </si>
  <si>
    <t>BA.19504</t>
  </si>
  <si>
    <t>BA.19102</t>
  </si>
  <si>
    <t>cọc</t>
  </si>
  <si>
    <t>BA.19301</t>
  </si>
  <si>
    <t>AI.11131</t>
  </si>
  <si>
    <t>BẢNG ĐƠN GIÁ DỰ THẦU HẠNG MỤC CÔNG TRÌNH</t>
  </si>
  <si>
    <t>DỰ ÁN : HỒ CHỨA NƯỚC KA PÉT - HUYỆN HÀM THUẬN NAM, TỈNH BÌNH THUẬN</t>
  </si>
  <si>
    <t>Đường quản lý  - Cụm đầu mối</t>
  </si>
  <si>
    <t>AB.31142</t>
  </si>
  <si>
    <t>AB.31144</t>
  </si>
  <si>
    <t>AB.11502</t>
  </si>
  <si>
    <t>AB.64113</t>
  </si>
  <si>
    <t>AF.15413</t>
  </si>
  <si>
    <t>AF.82411</t>
  </si>
  <si>
    <t>AD.11212</t>
  </si>
  <si>
    <t>Khối lượng PVTC - Cụm công trình đầu mối</t>
  </si>
  <si>
    <t>AB.24141</t>
  </si>
  <si>
    <t>AB.41431</t>
  </si>
  <si>
    <t>AB.42131</t>
  </si>
  <si>
    <t>AB.42231</t>
  </si>
  <si>
    <t>AB.11822</t>
  </si>
  <si>
    <t>AB.31143</t>
  </si>
  <si>
    <t>AB.11823</t>
  </si>
  <si>
    <t>AB.41433</t>
  </si>
  <si>
    <t>AB.42133</t>
  </si>
  <si>
    <t>AB.42233</t>
  </si>
  <si>
    <t>AB.11824</t>
  </si>
  <si>
    <t>TLB.12331</t>
  </si>
  <si>
    <t>AB.12114</t>
  </si>
  <si>
    <t>AE.12110</t>
  </si>
  <si>
    <t>AB.67110</t>
  </si>
  <si>
    <t>AD.11222</t>
  </si>
  <si>
    <t>BB.11214</t>
  </si>
  <si>
    <t>đoạn ống</t>
  </si>
  <si>
    <t>AL.15422</t>
  </si>
  <si>
    <t>1 rọ</t>
  </si>
  <si>
    <t>AB.25132</t>
  </si>
  <si>
    <t>AB.63111</t>
  </si>
  <si>
    <t>AE.12120</t>
  </si>
  <si>
    <t>AK.98110</t>
  </si>
  <si>
    <t>AL.16121</t>
  </si>
  <si>
    <t>AF.11212</t>
  </si>
  <si>
    <t>AF.12112</t>
  </si>
  <si>
    <t>AF.83211</t>
  </si>
  <si>
    <t>TLB.21421</t>
  </si>
  <si>
    <t>1m3 đắp</t>
  </si>
  <si>
    <t>Bổ sung đơn giá</t>
  </si>
  <si>
    <t>AM.24721</t>
  </si>
  <si>
    <t>10 tấn</t>
  </si>
  <si>
    <t>AB.41142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</si>
</sst>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0;\-#,##0.##0"/>
  </numFmts>
  <fonts count="10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rgb="FF800000"/>
      <name val="Arial Narrow"/>
      <family val="2"/>
    </font>
    <font>
      <b/>
      <sz val="10"/>
      <color rgb="FF800000"/>
      <name val="Arial"/>
      <family val="2"/>
    </font>
    <font>
      <sz val="11"/>
      <name val="Arial Narrow"/>
      <family val="2"/>
    </font>
    <font>
      <sz val="8.25"/>
      <name val="Microsoft Sans Serif"/>
      <family val="2"/>
    </font>
    <font>
      <b/>
      <sz val="10"/>
      <color rgb="FF0000CD"/>
      <name val="Times New Roman"/>
      <family val="1"/>
    </font>
    <font>
      <b/>
      <i/>
      <sz val="11"/>
      <name val="Times New Roman"/>
      <family val="1"/>
    </font>
    <font>
      <b/>
      <sz val="15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164" fontId="2" fillId="0" borderId="4" xfId="0" applyNumberFormat="1" applyFont="1" applyBorder="1" applyAlignment="1" applyProtection="1">
      <alignment horizontal="center" vertical="center" wrapText="1"/>
      <protection locked="0"/>
    </xf>
    <xf numFmtId="3" fontId="4" fillId="0" borderId="4" xfId="0" applyNumberFormat="1" applyFont="1" applyBorder="1" applyAlignment="1" applyProtection="1">
      <alignment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vertical="center" wrapText="1"/>
      <protection locked="0"/>
    </xf>
    <xf numFmtId="164" fontId="4" fillId="0" borderId="4" xfId="0" applyNumberFormat="1" applyFont="1" applyBorder="1" applyAlignment="1" applyProtection="1">
      <alignment vertical="center" wrapText="1"/>
      <protection locked="0"/>
    </xf>
    <xf numFmtId="164" fontId="2" fillId="0" borderId="4" xfId="0" applyNumberFormat="1" applyFont="1" applyBorder="1" applyAlignment="1" applyProtection="1">
      <alignment vertical="center" wrapText="1"/>
      <protection locked="0"/>
    </xf>
    <xf numFmtId="3" fontId="2" fillId="0" borderId="4" xfId="0" applyNumberFormat="1" applyFont="1" applyBorder="1" applyAlignment="1" applyProtection="1">
      <alignment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164" fontId="6" fillId="0" borderId="4" xfId="0" applyNumberFormat="1" applyFont="1" applyBorder="1" applyAlignment="1" applyProtection="1">
      <alignment vertical="center" wrapText="1"/>
      <protection locked="0"/>
    </xf>
    <xf numFmtId="0" fontId="6" fillId="0" borderId="4" xfId="0" applyFont="1" applyBorder="1" applyAlignment="1" applyProtection="1">
      <alignment vertical="center" wrapText="1"/>
      <protection locked="0"/>
    </xf>
    <xf numFmtId="3" fontId="6" fillId="0" borderId="4" xfId="0" applyNumberFormat="1" applyFont="1" applyBorder="1" applyAlignment="1" applyProtection="1">
      <alignment vertical="center" wrapText="1"/>
      <protection locked="0"/>
    </xf>
    <xf numFmtId="49" fontId="7" fillId="0" borderId="5" xfId="0" applyNumberFormat="1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vertical="center" wrapText="1"/>
      <protection locked="0"/>
    </xf>
    <xf numFmtId="164" fontId="5" fillId="0" borderId="6" xfId="0" applyNumberFormat="1" applyFont="1" applyBorder="1" applyAlignment="1" applyProtection="1">
      <alignment vertical="center" wrapText="1"/>
      <protection locked="0"/>
    </xf>
    <xf numFmtId="0" fontId="5" fillId="0" borderId="7" xfId="0" applyFont="1" applyBorder="1" applyAlignment="1" applyProtection="1">
      <alignment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1.%20CONG%20VIEC/Ho%20Kapet/Gop%20y%20HSTK/DT%20dau%20moi%20Ho%20Ka%20Pet%202026-6-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GV"/>
      <sheetName val="Công trình"/>
      <sheetName val="Giá tháng"/>
      <sheetName val="Đầu vào"/>
      <sheetName val="Nhân công"/>
      <sheetName val="Máy"/>
      <sheetName val="HaoPhiVatTu"/>
      <sheetName val="Tổng hợp VT"/>
      <sheetName val="THVT gộp"/>
      <sheetName val="Cước VC"/>
      <sheetName val="Cước bộ"/>
      <sheetName val="Đơn giá chi tiết"/>
      <sheetName val="Giá tổng hợp"/>
      <sheetName val="THKP hạng mục"/>
      <sheetName val="TH chi phí XD"/>
      <sheetName val="TH chi phí TB"/>
      <sheetName val="HM chung"/>
      <sheetName val="Dự phòng"/>
      <sheetName val="TH kinh phí"/>
      <sheetName val="Chi tiết KL"/>
      <sheetName val="Luật XD"/>
      <sheetName val="Công trình TL"/>
      <sheetName val="Chiết tính"/>
      <sheetName val="Hệ số"/>
      <sheetName val="Đơn giá TH"/>
      <sheetName val="Dự thầu"/>
      <sheetName val="HM chung thầu"/>
      <sheetName val="Dự phòng thầu"/>
      <sheetName val="Dự toán gói thầu"/>
      <sheetName val="Phân tích VT"/>
      <sheetName val="Bìa"/>
      <sheetName val="NhiênLiệu"/>
      <sheetName val="Thẩm định"/>
      <sheetName val="TH chi phí tư vấn"/>
      <sheetName val="Thép"/>
      <sheetName val="HSXL"/>
      <sheetName val="Định mức tư vấn"/>
      <sheetName val="Quyết toán"/>
      <sheetName val="Giá tháng QT"/>
      <sheetName val="Đầu vào QT"/>
      <sheetName val="Nhân công QT"/>
      <sheetName val="Máy QT"/>
      <sheetName val="HaoPhiVatTu QT"/>
      <sheetName val="Tổng hợp VT QT"/>
      <sheetName val="Cước VC QT"/>
      <sheetName val="Cước bộ QT"/>
      <sheetName val="NhiênLiệu QT"/>
      <sheetName val="Chiết tính QT"/>
      <sheetName val="Dự thầu QT"/>
      <sheetName val="Hệ số QT"/>
      <sheetName val="HSXLQT"/>
      <sheetName val="KL hoàn thành"/>
      <sheetName val="KL phát sinh"/>
      <sheetName val="Hệ số Pn"/>
      <sheetName val="Tổng hợp QT"/>
      <sheetName val="Cấu hình"/>
    </sheetNames>
    <sheetDataSet>
      <sheetData sheetId="0" refreshError="1"/>
      <sheetData sheetId="1">
        <row r="1">
          <cell r="AM1" t="str">
            <v>(đ)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7">
          <cell r="H7">
            <v>339155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2"/>
  <sheetViews>
    <sheetView tabSelected="1" workbookViewId="0">
      <selection activeCell="F9" sqref="F9"/>
    </sheetView>
  </sheetViews>
  <sheetFormatPr defaultColWidth="8.88671875" defaultRowHeight="10.8" outlineLevelRow="1" x14ac:dyDescent="0.3"/>
  <cols>
    <col min="1" max="1" width="5.77734375" style="31" customWidth="1"/>
    <col min="2" max="2" width="10.77734375" style="31" customWidth="1"/>
    <col min="3" max="3" width="33" style="31" customWidth="1"/>
    <col min="4" max="4" width="8.33203125" style="31" customWidth="1"/>
    <col min="5" max="8" width="11.88671875" style="31" customWidth="1"/>
    <col min="9" max="10" width="12.5546875" style="31" customWidth="1"/>
    <col min="11" max="16384" width="8.88671875" style="31"/>
  </cols>
  <sheetData>
    <row r="1" spans="1:10" ht="3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tr">
        <f>"Vật liệu
"&amp;'[1]Công trình'!AM1</f>
        <v>Vật liệu
(đ)</v>
      </c>
      <c r="G1" s="2" t="str">
        <f>"Nhân công
"&amp;'[1]Công trình'!AM1</f>
        <v>Nhân công
(đ)</v>
      </c>
      <c r="H1" s="2" t="str">
        <f>"Máy
"&amp;'[1]Công trình'!AM1</f>
        <v>Máy
(đ)</v>
      </c>
      <c r="I1" s="2" t="str">
        <f>"Đơn giá
"&amp;'[1]Công trình'!AM1</f>
        <v>Đơn giá
(đ)</v>
      </c>
      <c r="J1" s="2" t="str">
        <f>"Thành tiền
"&amp;'[1]Công trình'!AM1</f>
        <v>Thành tiền
(đ)</v>
      </c>
    </row>
    <row r="2" spans="1:10" ht="13.8" x14ac:dyDescent="0.3">
      <c r="A2" s="3"/>
      <c r="B2" s="4" t="s">
        <v>310</v>
      </c>
      <c r="C2" s="5" t="s">
        <v>5</v>
      </c>
      <c r="D2" s="4">
        <v>0</v>
      </c>
      <c r="E2" s="6">
        <v>0</v>
      </c>
      <c r="F2" s="7"/>
      <c r="G2" s="7"/>
      <c r="H2" s="7"/>
      <c r="I2" s="7"/>
      <c r="J2" s="7"/>
    </row>
    <row r="3" spans="1:10" ht="27.6" outlineLevel="1" x14ac:dyDescent="0.3">
      <c r="A3" s="8">
        <v>1</v>
      </c>
      <c r="B3" s="9" t="s">
        <v>311</v>
      </c>
      <c r="C3" s="10" t="s">
        <v>6</v>
      </c>
      <c r="D3" s="9" t="s">
        <v>312</v>
      </c>
      <c r="E3" s="11">
        <v>38.081400000000002</v>
      </c>
      <c r="F3" s="7">
        <v>0</v>
      </c>
      <c r="G3" s="7">
        <v>339155</v>
      </c>
      <c r="H3" s="7">
        <v>906175.196</v>
      </c>
      <c r="I3" s="7">
        <v>1561544.7507008689</v>
      </c>
      <c r="J3" s="7">
        <v>59465810.269340076</v>
      </c>
    </row>
    <row r="4" spans="1:10" ht="27.6" outlineLevel="1" x14ac:dyDescent="0.3">
      <c r="A4" s="8">
        <v>2</v>
      </c>
      <c r="B4" s="9" t="s">
        <v>313</v>
      </c>
      <c r="C4" s="10" t="s">
        <v>7</v>
      </c>
      <c r="D4" s="9" t="s">
        <v>312</v>
      </c>
      <c r="E4" s="11">
        <v>38.081400000000002</v>
      </c>
      <c r="F4" s="7">
        <v>0</v>
      </c>
      <c r="G4" s="7">
        <v>0</v>
      </c>
      <c r="H4" s="7">
        <v>1607259.9850000001</v>
      </c>
      <c r="I4" s="7">
        <v>2015375.8422061962</v>
      </c>
      <c r="J4" s="7">
        <v>76748333.597391039</v>
      </c>
    </row>
    <row r="5" spans="1:10" ht="27.6" outlineLevel="1" x14ac:dyDescent="0.3">
      <c r="A5" s="8">
        <v>3</v>
      </c>
      <c r="B5" s="9" t="s">
        <v>314</v>
      </c>
      <c r="C5" s="10" t="s">
        <v>8</v>
      </c>
      <c r="D5" s="9" t="s">
        <v>315</v>
      </c>
      <c r="E5" s="11">
        <v>38.081400000000002</v>
      </c>
      <c r="F5" s="7">
        <v>0</v>
      </c>
      <c r="G5" s="7">
        <v>0</v>
      </c>
      <c r="H5" s="7">
        <v>2457916.44</v>
      </c>
      <c r="I5" s="7">
        <v>3082031.1969239097</v>
      </c>
      <c r="J5" s="7">
        <v>117368062.82253818</v>
      </c>
    </row>
    <row r="6" spans="1:10" ht="27.6" outlineLevel="1" x14ac:dyDescent="0.3">
      <c r="A6" s="8">
        <v>4</v>
      </c>
      <c r="B6" s="9" t="s">
        <v>316</v>
      </c>
      <c r="C6" s="10" t="s">
        <v>9</v>
      </c>
      <c r="D6" s="9" t="s">
        <v>315</v>
      </c>
      <c r="E6" s="11">
        <v>38.081400000000002</v>
      </c>
      <c r="F6" s="7">
        <v>0</v>
      </c>
      <c r="G6" s="7">
        <v>0</v>
      </c>
      <c r="H6" s="7">
        <v>8385340.7799999993</v>
      </c>
      <c r="I6" s="7">
        <v>10514548.607192796</v>
      </c>
      <c r="J6" s="7">
        <v>400408731.32995176</v>
      </c>
    </row>
    <row r="7" spans="1:10" ht="13.8" outlineLevel="1" x14ac:dyDescent="0.3">
      <c r="A7" s="8">
        <v>5</v>
      </c>
      <c r="B7" s="9" t="s">
        <v>317</v>
      </c>
      <c r="C7" s="10" t="s">
        <v>10</v>
      </c>
      <c r="D7" s="9" t="s">
        <v>312</v>
      </c>
      <c r="E7" s="11">
        <v>38.081400000000002</v>
      </c>
      <c r="F7" s="7">
        <v>0</v>
      </c>
      <c r="G7" s="7">
        <v>0</v>
      </c>
      <c r="H7" s="7">
        <v>175127.61199999999</v>
      </c>
      <c r="I7" s="7">
        <v>219596.05902094301</v>
      </c>
      <c r="J7" s="7">
        <v>8362525.3620001394</v>
      </c>
    </row>
    <row r="8" spans="1:10" ht="41.4" outlineLevel="1" x14ac:dyDescent="0.3">
      <c r="A8" s="8">
        <v>6</v>
      </c>
      <c r="B8" s="9" t="s">
        <v>311</v>
      </c>
      <c r="C8" s="10" t="s">
        <v>11</v>
      </c>
      <c r="D8" s="9" t="s">
        <v>312</v>
      </c>
      <c r="E8" s="11">
        <v>2.0714999999999999</v>
      </c>
      <c r="F8" s="7">
        <v>0</v>
      </c>
      <c r="G8" s="7">
        <v>339155</v>
      </c>
      <c r="H8" s="7">
        <v>906175.196</v>
      </c>
      <c r="I8" s="7">
        <v>1561544.7507008689</v>
      </c>
      <c r="J8" s="7">
        <v>3234739.9510768498</v>
      </c>
    </row>
    <row r="9" spans="1:10" ht="27.6" outlineLevel="1" x14ac:dyDescent="0.3">
      <c r="A9" s="8">
        <v>7</v>
      </c>
      <c r="B9" s="9" t="s">
        <v>313</v>
      </c>
      <c r="C9" s="10" t="s">
        <v>7</v>
      </c>
      <c r="D9" s="9" t="s">
        <v>312</v>
      </c>
      <c r="E9" s="11">
        <v>2.0714999999999999</v>
      </c>
      <c r="F9" s="7">
        <v>0</v>
      </c>
      <c r="G9" s="7">
        <v>0</v>
      </c>
      <c r="H9" s="7">
        <v>1607259.9850000001</v>
      </c>
      <c r="I9" s="7">
        <v>2015375.8422061962</v>
      </c>
      <c r="J9" s="7">
        <v>4174851.0571301351</v>
      </c>
    </row>
    <row r="10" spans="1:10" ht="27.6" outlineLevel="1" x14ac:dyDescent="0.3">
      <c r="A10" s="8">
        <v>8</v>
      </c>
      <c r="B10" s="9" t="s">
        <v>314</v>
      </c>
      <c r="C10" s="10" t="s">
        <v>8</v>
      </c>
      <c r="D10" s="9" t="s">
        <v>315</v>
      </c>
      <c r="E10" s="11">
        <v>2.0714999999999999</v>
      </c>
      <c r="F10" s="7">
        <v>0</v>
      </c>
      <c r="G10" s="7">
        <v>0</v>
      </c>
      <c r="H10" s="7">
        <v>2457916.44</v>
      </c>
      <c r="I10" s="7">
        <v>3082031.1969239097</v>
      </c>
      <c r="J10" s="7">
        <v>6384427.6244278783</v>
      </c>
    </row>
    <row r="11" spans="1:10" ht="41.4" outlineLevel="1" x14ac:dyDescent="0.3">
      <c r="A11" s="8">
        <v>9</v>
      </c>
      <c r="B11" s="9" t="s">
        <v>316</v>
      </c>
      <c r="C11" s="10" t="s">
        <v>12</v>
      </c>
      <c r="D11" s="9" t="s">
        <v>315</v>
      </c>
      <c r="E11" s="11">
        <v>2.0714999999999999</v>
      </c>
      <c r="F11" s="7">
        <v>0</v>
      </c>
      <c r="G11" s="7">
        <v>0</v>
      </c>
      <c r="H11" s="7">
        <v>9090695.9161999989</v>
      </c>
      <c r="I11" s="7">
        <v>11399007.695915481</v>
      </c>
      <c r="J11" s="7">
        <v>23613044.442088917</v>
      </c>
    </row>
    <row r="12" spans="1:10" ht="27.6" outlineLevel="1" x14ac:dyDescent="0.3">
      <c r="A12" s="8">
        <v>10</v>
      </c>
      <c r="B12" s="9" t="s">
        <v>311</v>
      </c>
      <c r="C12" s="10" t="s">
        <v>13</v>
      </c>
      <c r="D12" s="9" t="s">
        <v>312</v>
      </c>
      <c r="E12" s="11">
        <v>138.29579999999999</v>
      </c>
      <c r="F12" s="7">
        <v>0</v>
      </c>
      <c r="G12" s="7">
        <v>339155</v>
      </c>
      <c r="H12" s="7">
        <v>906175.196</v>
      </c>
      <c r="I12" s="7">
        <v>1561544.7507008689</v>
      </c>
      <c r="J12" s="7">
        <v>215955080.53397721</v>
      </c>
    </row>
    <row r="13" spans="1:10" ht="27.6" outlineLevel="1" x14ac:dyDescent="0.3">
      <c r="A13" s="8">
        <v>11</v>
      </c>
      <c r="B13" s="9" t="s">
        <v>313</v>
      </c>
      <c r="C13" s="10" t="s">
        <v>7</v>
      </c>
      <c r="D13" s="9" t="s">
        <v>312</v>
      </c>
      <c r="E13" s="11">
        <v>138.29579999999999</v>
      </c>
      <c r="F13" s="7">
        <v>0</v>
      </c>
      <c r="G13" s="7">
        <v>0</v>
      </c>
      <c r="H13" s="7">
        <v>1607259.9850000001</v>
      </c>
      <c r="I13" s="7">
        <v>2015375.8422061962</v>
      </c>
      <c r="J13" s="7">
        <v>278718014.39857966</v>
      </c>
    </row>
    <row r="14" spans="1:10" ht="13.8" outlineLevel="1" x14ac:dyDescent="0.3">
      <c r="A14" s="8">
        <v>12</v>
      </c>
      <c r="B14" s="9" t="s">
        <v>317</v>
      </c>
      <c r="C14" s="10" t="s">
        <v>10</v>
      </c>
      <c r="D14" s="9" t="s">
        <v>312</v>
      </c>
      <c r="E14" s="11">
        <v>138.29579999999999</v>
      </c>
      <c r="F14" s="7">
        <v>0</v>
      </c>
      <c r="G14" s="7">
        <v>0</v>
      </c>
      <c r="H14" s="7">
        <v>175127.61199999999</v>
      </c>
      <c r="I14" s="7">
        <v>219596.05902094301</v>
      </c>
      <c r="J14" s="7">
        <v>30369212.659148525</v>
      </c>
    </row>
    <row r="15" spans="1:10" ht="27.6" outlineLevel="1" x14ac:dyDescent="0.3">
      <c r="A15" s="8">
        <v>13</v>
      </c>
      <c r="B15" s="9" t="s">
        <v>311</v>
      </c>
      <c r="C15" s="10" t="s">
        <v>13</v>
      </c>
      <c r="D15" s="9" t="s">
        <v>312</v>
      </c>
      <c r="E15" s="11">
        <v>9.4586000000000006</v>
      </c>
      <c r="F15" s="7">
        <v>0</v>
      </c>
      <c r="G15" s="7">
        <v>339155</v>
      </c>
      <c r="H15" s="7">
        <v>906175.196</v>
      </c>
      <c r="I15" s="7">
        <v>1561544.7507008689</v>
      </c>
      <c r="J15" s="7">
        <v>14770027.17897924</v>
      </c>
    </row>
    <row r="16" spans="1:10" ht="27.6" outlineLevel="1" x14ac:dyDescent="0.3">
      <c r="A16" s="8">
        <v>14</v>
      </c>
      <c r="B16" s="9" t="s">
        <v>313</v>
      </c>
      <c r="C16" s="10" t="s">
        <v>7</v>
      </c>
      <c r="D16" s="9" t="s">
        <v>312</v>
      </c>
      <c r="E16" s="11">
        <v>9.4586000000000006</v>
      </c>
      <c r="F16" s="7">
        <v>0</v>
      </c>
      <c r="G16" s="7">
        <v>0</v>
      </c>
      <c r="H16" s="7">
        <v>1607259.9850000001</v>
      </c>
      <c r="I16" s="7">
        <v>2015375.8422061962</v>
      </c>
      <c r="J16" s="7">
        <v>19062633.941091526</v>
      </c>
    </row>
    <row r="17" spans="1:10" ht="13.8" outlineLevel="1" x14ac:dyDescent="0.3">
      <c r="A17" s="8">
        <v>15</v>
      </c>
      <c r="B17" s="9" t="s">
        <v>317</v>
      </c>
      <c r="C17" s="10" t="s">
        <v>10</v>
      </c>
      <c r="D17" s="9" t="s">
        <v>312</v>
      </c>
      <c r="E17" s="11">
        <v>9.4586000000000006</v>
      </c>
      <c r="F17" s="7">
        <v>0</v>
      </c>
      <c r="G17" s="7">
        <v>0</v>
      </c>
      <c r="H17" s="7">
        <v>175127.61199999999</v>
      </c>
      <c r="I17" s="7">
        <v>219596.05902094301</v>
      </c>
      <c r="J17" s="7">
        <v>2077071.2838554916</v>
      </c>
    </row>
    <row r="18" spans="1:10" ht="41.4" outlineLevel="1" x14ac:dyDescent="0.3">
      <c r="A18" s="8">
        <v>16</v>
      </c>
      <c r="B18" s="9" t="s">
        <v>311</v>
      </c>
      <c r="C18" s="10" t="s">
        <v>14</v>
      </c>
      <c r="D18" s="9" t="s">
        <v>312</v>
      </c>
      <c r="E18" s="11">
        <v>44</v>
      </c>
      <c r="F18" s="7">
        <v>0</v>
      </c>
      <c r="G18" s="7">
        <v>339155</v>
      </c>
      <c r="H18" s="7">
        <v>906175.196</v>
      </c>
      <c r="I18" s="7">
        <v>1561544.7507008689</v>
      </c>
      <c r="J18" s="7">
        <v>68707969.030838236</v>
      </c>
    </row>
    <row r="19" spans="1:10" ht="27.6" outlineLevel="1" x14ac:dyDescent="0.3">
      <c r="A19" s="8">
        <v>17</v>
      </c>
      <c r="B19" s="9" t="s">
        <v>313</v>
      </c>
      <c r="C19" s="10" t="s">
        <v>7</v>
      </c>
      <c r="D19" s="9" t="s">
        <v>312</v>
      </c>
      <c r="E19" s="11">
        <v>44</v>
      </c>
      <c r="F19" s="7">
        <v>0</v>
      </c>
      <c r="G19" s="7">
        <v>0</v>
      </c>
      <c r="H19" s="7">
        <v>1607259.9850000001</v>
      </c>
      <c r="I19" s="7">
        <v>2015375.8422061962</v>
      </c>
      <c r="J19" s="7">
        <v>88676537.057072625</v>
      </c>
    </row>
    <row r="20" spans="1:10" ht="27.6" outlineLevel="1" x14ac:dyDescent="0.3">
      <c r="A20" s="8">
        <v>18</v>
      </c>
      <c r="B20" s="9" t="s">
        <v>314</v>
      </c>
      <c r="C20" s="10" t="s">
        <v>8</v>
      </c>
      <c r="D20" s="9" t="s">
        <v>315</v>
      </c>
      <c r="E20" s="11">
        <v>44</v>
      </c>
      <c r="F20" s="7">
        <v>0</v>
      </c>
      <c r="G20" s="7">
        <v>0</v>
      </c>
      <c r="H20" s="7">
        <v>2457916.44</v>
      </c>
      <c r="I20" s="7">
        <v>3082031.1969239097</v>
      </c>
      <c r="J20" s="7">
        <v>135609372.66465202</v>
      </c>
    </row>
    <row r="21" spans="1:10" ht="41.4" outlineLevel="1" x14ac:dyDescent="0.3">
      <c r="A21" s="8">
        <v>19</v>
      </c>
      <c r="B21" s="9" t="s">
        <v>316</v>
      </c>
      <c r="C21" s="10" t="s">
        <v>15</v>
      </c>
      <c r="D21" s="9" t="s">
        <v>315</v>
      </c>
      <c r="E21" s="11">
        <v>44</v>
      </c>
      <c r="F21" s="7">
        <v>0</v>
      </c>
      <c r="G21" s="7">
        <v>0</v>
      </c>
      <c r="H21" s="7">
        <v>7019023.4881999996</v>
      </c>
      <c r="I21" s="7">
        <v>8801295.6870796159</v>
      </c>
      <c r="J21" s="7">
        <v>387257010.23150313</v>
      </c>
    </row>
    <row r="22" spans="1:10" ht="41.4" outlineLevel="1" x14ac:dyDescent="0.3">
      <c r="A22" s="8">
        <v>20</v>
      </c>
      <c r="B22" s="9" t="s">
        <v>311</v>
      </c>
      <c r="C22" s="10" t="s">
        <v>16</v>
      </c>
      <c r="D22" s="9" t="s">
        <v>312</v>
      </c>
      <c r="E22" s="11">
        <v>10.3971</v>
      </c>
      <c r="F22" s="7">
        <v>0</v>
      </c>
      <c r="G22" s="7">
        <v>339155</v>
      </c>
      <c r="H22" s="7">
        <v>906175.196</v>
      </c>
      <c r="I22" s="7">
        <v>1561544.7507008689</v>
      </c>
      <c r="J22" s="7">
        <v>16235536.927512005</v>
      </c>
    </row>
    <row r="23" spans="1:10" ht="27.6" outlineLevel="1" x14ac:dyDescent="0.3">
      <c r="A23" s="8">
        <v>21</v>
      </c>
      <c r="B23" s="9" t="s">
        <v>313</v>
      </c>
      <c r="C23" s="10" t="s">
        <v>7</v>
      </c>
      <c r="D23" s="9" t="s">
        <v>312</v>
      </c>
      <c r="E23" s="11">
        <v>10.3971</v>
      </c>
      <c r="F23" s="7">
        <v>0</v>
      </c>
      <c r="G23" s="7">
        <v>0</v>
      </c>
      <c r="H23" s="7">
        <v>1607259.9850000001</v>
      </c>
      <c r="I23" s="7">
        <v>2015375.8422061962</v>
      </c>
      <c r="J23" s="7">
        <v>20954064.169002041</v>
      </c>
    </row>
    <row r="24" spans="1:10" ht="27.6" outlineLevel="1" x14ac:dyDescent="0.3">
      <c r="A24" s="8">
        <v>22</v>
      </c>
      <c r="B24" s="9" t="s">
        <v>314</v>
      </c>
      <c r="C24" s="10" t="s">
        <v>8</v>
      </c>
      <c r="D24" s="9" t="s">
        <v>315</v>
      </c>
      <c r="E24" s="11">
        <v>10.3971</v>
      </c>
      <c r="F24" s="7">
        <v>0</v>
      </c>
      <c r="G24" s="7">
        <v>0</v>
      </c>
      <c r="H24" s="7">
        <v>2457916.44</v>
      </c>
      <c r="I24" s="7">
        <v>3082031.1969239097</v>
      </c>
      <c r="J24" s="7">
        <v>32044186.557537582</v>
      </c>
    </row>
    <row r="25" spans="1:10" ht="41.4" outlineLevel="1" x14ac:dyDescent="0.3">
      <c r="A25" s="8">
        <v>23</v>
      </c>
      <c r="B25" s="9" t="s">
        <v>316</v>
      </c>
      <c r="C25" s="10" t="s">
        <v>17</v>
      </c>
      <c r="D25" s="9" t="s">
        <v>315</v>
      </c>
      <c r="E25" s="11">
        <v>10.3971</v>
      </c>
      <c r="F25" s="7">
        <v>0</v>
      </c>
      <c r="G25" s="7">
        <v>0</v>
      </c>
      <c r="H25" s="7">
        <v>7487616.0611999994</v>
      </c>
      <c r="I25" s="7">
        <v>9388873.4033639189</v>
      </c>
      <c r="J25" s="7">
        <v>97617055.662115008</v>
      </c>
    </row>
    <row r="26" spans="1:10" ht="41.4" outlineLevel="1" x14ac:dyDescent="0.3">
      <c r="A26" s="8">
        <v>24</v>
      </c>
      <c r="B26" s="9" t="s">
        <v>311</v>
      </c>
      <c r="C26" s="10" t="s">
        <v>18</v>
      </c>
      <c r="D26" s="9" t="s">
        <v>312</v>
      </c>
      <c r="E26" s="11">
        <v>104.60290000000001</v>
      </c>
      <c r="F26" s="7">
        <v>0</v>
      </c>
      <c r="G26" s="7">
        <v>339155</v>
      </c>
      <c r="H26" s="7">
        <v>906175.196</v>
      </c>
      <c r="I26" s="7">
        <v>1561544.7507008689</v>
      </c>
      <c r="J26" s="7">
        <v>163342109.40308791</v>
      </c>
    </row>
    <row r="27" spans="1:10" ht="27.6" outlineLevel="1" x14ac:dyDescent="0.3">
      <c r="A27" s="8">
        <v>25</v>
      </c>
      <c r="B27" s="9" t="s">
        <v>313</v>
      </c>
      <c r="C27" s="10" t="s">
        <v>7</v>
      </c>
      <c r="D27" s="9" t="s">
        <v>312</v>
      </c>
      <c r="E27" s="11">
        <v>104.60290000000001</v>
      </c>
      <c r="F27" s="7">
        <v>0</v>
      </c>
      <c r="G27" s="7">
        <v>0</v>
      </c>
      <c r="H27" s="7">
        <v>1607259.9850000001</v>
      </c>
      <c r="I27" s="7">
        <v>2015375.8422061962</v>
      </c>
      <c r="J27" s="7">
        <v>210814157.68471053</v>
      </c>
    </row>
    <row r="28" spans="1:10" ht="27.6" outlineLevel="1" x14ac:dyDescent="0.3">
      <c r="A28" s="8">
        <v>26</v>
      </c>
      <c r="B28" s="9" t="s">
        <v>314</v>
      </c>
      <c r="C28" s="10" t="s">
        <v>8</v>
      </c>
      <c r="D28" s="9" t="s">
        <v>315</v>
      </c>
      <c r="E28" s="11">
        <v>104.60290000000001</v>
      </c>
      <c r="F28" s="7">
        <v>0</v>
      </c>
      <c r="G28" s="7">
        <v>0</v>
      </c>
      <c r="H28" s="7">
        <v>2457916.44</v>
      </c>
      <c r="I28" s="7">
        <v>3082031.1969239097</v>
      </c>
      <c r="J28" s="7">
        <v>322389401.08871204</v>
      </c>
    </row>
    <row r="29" spans="1:10" ht="41.4" outlineLevel="1" x14ac:dyDescent="0.3">
      <c r="A29" s="8">
        <v>27</v>
      </c>
      <c r="B29" s="9" t="s">
        <v>316</v>
      </c>
      <c r="C29" s="10" t="s">
        <v>17</v>
      </c>
      <c r="D29" s="9" t="s">
        <v>315</v>
      </c>
      <c r="E29" s="11">
        <v>104.60290000000001</v>
      </c>
      <c r="F29" s="7">
        <v>0</v>
      </c>
      <c r="G29" s="7">
        <v>0</v>
      </c>
      <c r="H29" s="7">
        <v>7487616.0611999994</v>
      </c>
      <c r="I29" s="7">
        <v>9388873.4033639189</v>
      </c>
      <c r="J29" s="7">
        <v>982103385.72473574</v>
      </c>
    </row>
    <row r="30" spans="1:10" ht="41.4" outlineLevel="1" x14ac:dyDescent="0.3">
      <c r="A30" s="8">
        <v>28</v>
      </c>
      <c r="B30" s="9" t="s">
        <v>311</v>
      </c>
      <c r="C30" s="10" t="s">
        <v>19</v>
      </c>
      <c r="D30" s="9" t="s">
        <v>312</v>
      </c>
      <c r="E30" s="11">
        <v>26</v>
      </c>
      <c r="F30" s="7">
        <v>0</v>
      </c>
      <c r="G30" s="7">
        <v>339155</v>
      </c>
      <c r="H30" s="7">
        <v>906175.196</v>
      </c>
      <c r="I30" s="7">
        <v>1561544.7507008689</v>
      </c>
      <c r="J30" s="7">
        <v>40600163.518222593</v>
      </c>
    </row>
    <row r="31" spans="1:10" ht="27.6" outlineLevel="1" x14ac:dyDescent="0.3">
      <c r="A31" s="8">
        <v>29</v>
      </c>
      <c r="B31" s="9" t="s">
        <v>313</v>
      </c>
      <c r="C31" s="10" t="s">
        <v>7</v>
      </c>
      <c r="D31" s="9" t="s">
        <v>312</v>
      </c>
      <c r="E31" s="11">
        <v>26</v>
      </c>
      <c r="F31" s="7">
        <v>0</v>
      </c>
      <c r="G31" s="7">
        <v>0</v>
      </c>
      <c r="H31" s="7">
        <v>1607259.9850000001</v>
      </c>
      <c r="I31" s="7">
        <v>2015375.8422061962</v>
      </c>
      <c r="J31" s="7">
        <v>52399771.8973611</v>
      </c>
    </row>
    <row r="32" spans="1:10" ht="27.6" outlineLevel="1" x14ac:dyDescent="0.3">
      <c r="A32" s="8">
        <v>30</v>
      </c>
      <c r="B32" s="9" t="s">
        <v>314</v>
      </c>
      <c r="C32" s="10" t="s">
        <v>8</v>
      </c>
      <c r="D32" s="9" t="s">
        <v>315</v>
      </c>
      <c r="E32" s="11">
        <v>26</v>
      </c>
      <c r="F32" s="7">
        <v>0</v>
      </c>
      <c r="G32" s="7">
        <v>0</v>
      </c>
      <c r="H32" s="7">
        <v>2457916.44</v>
      </c>
      <c r="I32" s="7">
        <v>3082031.1969239097</v>
      </c>
      <c r="J32" s="7">
        <v>80132811.120021656</v>
      </c>
    </row>
    <row r="33" spans="1:10" ht="41.4" outlineLevel="1" x14ac:dyDescent="0.3">
      <c r="A33" s="8">
        <v>31</v>
      </c>
      <c r="B33" s="9" t="s">
        <v>316</v>
      </c>
      <c r="C33" s="10" t="s">
        <v>20</v>
      </c>
      <c r="D33" s="9" t="s">
        <v>315</v>
      </c>
      <c r="E33" s="11">
        <v>26</v>
      </c>
      <c r="F33" s="7">
        <v>0</v>
      </c>
      <c r="G33" s="7">
        <v>0</v>
      </c>
      <c r="H33" s="7">
        <v>7926613.3137999997</v>
      </c>
      <c r="I33" s="7">
        <v>9939340.9480934236</v>
      </c>
      <c r="J33" s="7">
        <v>258422864.65042901</v>
      </c>
    </row>
    <row r="34" spans="1:10" ht="41.4" outlineLevel="1" x14ac:dyDescent="0.3">
      <c r="A34" s="8">
        <v>32</v>
      </c>
      <c r="B34" s="9" t="s">
        <v>311</v>
      </c>
      <c r="C34" s="10" t="s">
        <v>21</v>
      </c>
      <c r="D34" s="9" t="s">
        <v>312</v>
      </c>
      <c r="E34" s="11">
        <v>26</v>
      </c>
      <c r="F34" s="7">
        <v>0</v>
      </c>
      <c r="G34" s="7">
        <v>339155</v>
      </c>
      <c r="H34" s="7">
        <v>906175.196</v>
      </c>
      <c r="I34" s="7">
        <v>1561544.7507008689</v>
      </c>
      <c r="J34" s="7">
        <v>40600163.518222593</v>
      </c>
    </row>
    <row r="35" spans="1:10" ht="27.6" outlineLevel="1" x14ac:dyDescent="0.3">
      <c r="A35" s="8">
        <v>33</v>
      </c>
      <c r="B35" s="9" t="s">
        <v>313</v>
      </c>
      <c r="C35" s="10" t="s">
        <v>7</v>
      </c>
      <c r="D35" s="9" t="s">
        <v>312</v>
      </c>
      <c r="E35" s="11">
        <v>26</v>
      </c>
      <c r="F35" s="7">
        <v>0</v>
      </c>
      <c r="G35" s="7">
        <v>0</v>
      </c>
      <c r="H35" s="7">
        <v>1607259.9850000001</v>
      </c>
      <c r="I35" s="7">
        <v>2015375.8422061962</v>
      </c>
      <c r="J35" s="7">
        <v>52399771.8973611</v>
      </c>
    </row>
    <row r="36" spans="1:10" ht="27.6" outlineLevel="1" x14ac:dyDescent="0.3">
      <c r="A36" s="8">
        <v>34</v>
      </c>
      <c r="B36" s="9" t="s">
        <v>314</v>
      </c>
      <c r="C36" s="10" t="s">
        <v>8</v>
      </c>
      <c r="D36" s="9" t="s">
        <v>315</v>
      </c>
      <c r="E36" s="11">
        <v>26</v>
      </c>
      <c r="F36" s="7">
        <v>0</v>
      </c>
      <c r="G36" s="7">
        <v>0</v>
      </c>
      <c r="H36" s="7">
        <v>2457916.44</v>
      </c>
      <c r="I36" s="7">
        <v>3082031.1969239097</v>
      </c>
      <c r="J36" s="7">
        <v>80132811.120021656</v>
      </c>
    </row>
    <row r="37" spans="1:10" ht="41.4" outlineLevel="1" x14ac:dyDescent="0.3">
      <c r="A37" s="8">
        <v>35</v>
      </c>
      <c r="B37" s="9" t="s">
        <v>316</v>
      </c>
      <c r="C37" s="10" t="s">
        <v>22</v>
      </c>
      <c r="D37" s="9" t="s">
        <v>315</v>
      </c>
      <c r="E37" s="11">
        <v>26</v>
      </c>
      <c r="F37" s="7">
        <v>0</v>
      </c>
      <c r="G37" s="7">
        <v>0</v>
      </c>
      <c r="H37" s="7">
        <v>8276824.6052000001</v>
      </c>
      <c r="I37" s="7">
        <v>10378477.978158535</v>
      </c>
      <c r="J37" s="7">
        <v>269840427.43212193</v>
      </c>
    </row>
    <row r="38" spans="1:10" ht="41.4" outlineLevel="1" x14ac:dyDescent="0.3">
      <c r="A38" s="8">
        <v>36</v>
      </c>
      <c r="B38" s="9" t="s">
        <v>311</v>
      </c>
      <c r="C38" s="10" t="s">
        <v>23</v>
      </c>
      <c r="D38" s="9" t="s">
        <v>312</v>
      </c>
      <c r="E38" s="11">
        <v>58</v>
      </c>
      <c r="F38" s="7">
        <v>0</v>
      </c>
      <c r="G38" s="7">
        <v>339155</v>
      </c>
      <c r="H38" s="7">
        <v>906175.196</v>
      </c>
      <c r="I38" s="7">
        <v>1561544.7507008689</v>
      </c>
      <c r="J38" s="7">
        <v>90569595.540650398</v>
      </c>
    </row>
    <row r="39" spans="1:10" ht="27.6" outlineLevel="1" x14ac:dyDescent="0.3">
      <c r="A39" s="8">
        <v>37</v>
      </c>
      <c r="B39" s="9" t="s">
        <v>313</v>
      </c>
      <c r="C39" s="10" t="s">
        <v>7</v>
      </c>
      <c r="D39" s="9" t="s">
        <v>312</v>
      </c>
      <c r="E39" s="11">
        <v>58</v>
      </c>
      <c r="F39" s="7">
        <v>0</v>
      </c>
      <c r="G39" s="7">
        <v>0</v>
      </c>
      <c r="H39" s="7">
        <v>1607259.9850000001</v>
      </c>
      <c r="I39" s="7">
        <v>2015375.8422061962</v>
      </c>
      <c r="J39" s="7">
        <v>116891798.84795938</v>
      </c>
    </row>
    <row r="40" spans="1:10" ht="27.6" outlineLevel="1" x14ac:dyDescent="0.3">
      <c r="A40" s="8">
        <v>38</v>
      </c>
      <c r="B40" s="9" t="s">
        <v>314</v>
      </c>
      <c r="C40" s="10" t="s">
        <v>8</v>
      </c>
      <c r="D40" s="9" t="s">
        <v>315</v>
      </c>
      <c r="E40" s="11">
        <v>58</v>
      </c>
      <c r="F40" s="7">
        <v>0</v>
      </c>
      <c r="G40" s="7">
        <v>0</v>
      </c>
      <c r="H40" s="7">
        <v>2457916.44</v>
      </c>
      <c r="I40" s="7">
        <v>3082031.1969239097</v>
      </c>
      <c r="J40" s="7">
        <v>178757809.42158675</v>
      </c>
    </row>
    <row r="41" spans="1:10" ht="41.4" outlineLevel="1" x14ac:dyDescent="0.3">
      <c r="A41" s="8">
        <v>39</v>
      </c>
      <c r="B41" s="9" t="s">
        <v>316</v>
      </c>
      <c r="C41" s="10" t="s">
        <v>24</v>
      </c>
      <c r="D41" s="9" t="s">
        <v>315</v>
      </c>
      <c r="E41" s="11">
        <v>58</v>
      </c>
      <c r="F41" s="7">
        <v>0</v>
      </c>
      <c r="G41" s="7">
        <v>0</v>
      </c>
      <c r="H41" s="7">
        <v>8937786.7608000003</v>
      </c>
      <c r="I41" s="7">
        <v>11207271.809549026</v>
      </c>
      <c r="J41" s="7">
        <v>650021764.95384347</v>
      </c>
    </row>
    <row r="42" spans="1:10" ht="41.4" outlineLevel="1" x14ac:dyDescent="0.3">
      <c r="A42" s="8">
        <v>40</v>
      </c>
      <c r="B42" s="9" t="s">
        <v>311</v>
      </c>
      <c r="C42" s="10" t="s">
        <v>25</v>
      </c>
      <c r="D42" s="9" t="s">
        <v>312</v>
      </c>
      <c r="E42" s="11">
        <v>34.9285</v>
      </c>
      <c r="F42" s="7">
        <v>0</v>
      </c>
      <c r="G42" s="7">
        <v>339155</v>
      </c>
      <c r="H42" s="7">
        <v>906175.196</v>
      </c>
      <c r="I42" s="7">
        <v>1561544.7507008689</v>
      </c>
      <c r="J42" s="7">
        <v>54542415.824855298</v>
      </c>
    </row>
    <row r="43" spans="1:10" ht="27.6" outlineLevel="1" x14ac:dyDescent="0.3">
      <c r="A43" s="8">
        <v>41</v>
      </c>
      <c r="B43" s="9" t="s">
        <v>313</v>
      </c>
      <c r="C43" s="10" t="s">
        <v>7</v>
      </c>
      <c r="D43" s="9" t="s">
        <v>312</v>
      </c>
      <c r="E43" s="11">
        <v>34.9285</v>
      </c>
      <c r="F43" s="7">
        <v>0</v>
      </c>
      <c r="G43" s="7">
        <v>0</v>
      </c>
      <c r="H43" s="7">
        <v>1607259.9850000001</v>
      </c>
      <c r="I43" s="7">
        <v>2015375.8422061962</v>
      </c>
      <c r="J43" s="7">
        <v>70394055.104499117</v>
      </c>
    </row>
    <row r="44" spans="1:10" ht="27.6" outlineLevel="1" x14ac:dyDescent="0.3">
      <c r="A44" s="8">
        <v>42</v>
      </c>
      <c r="B44" s="9" t="s">
        <v>314</v>
      </c>
      <c r="C44" s="10" t="s">
        <v>8</v>
      </c>
      <c r="D44" s="9" t="s">
        <v>315</v>
      </c>
      <c r="E44" s="11">
        <v>34.9285</v>
      </c>
      <c r="F44" s="7">
        <v>0</v>
      </c>
      <c r="G44" s="7">
        <v>0</v>
      </c>
      <c r="H44" s="7">
        <v>2457916.44</v>
      </c>
      <c r="I44" s="7">
        <v>3082031.1969239097</v>
      </c>
      <c r="J44" s="7">
        <v>107650726.66175678</v>
      </c>
    </row>
    <row r="45" spans="1:10" ht="41.4" outlineLevel="1" x14ac:dyDescent="0.3">
      <c r="A45" s="8">
        <v>43</v>
      </c>
      <c r="B45" s="9" t="s">
        <v>316</v>
      </c>
      <c r="C45" s="10" t="s">
        <v>24</v>
      </c>
      <c r="D45" s="9" t="s">
        <v>315</v>
      </c>
      <c r="E45" s="11">
        <v>34.9285</v>
      </c>
      <c r="F45" s="7">
        <v>0</v>
      </c>
      <c r="G45" s="7">
        <v>0</v>
      </c>
      <c r="H45" s="7">
        <v>9090695.9161999989</v>
      </c>
      <c r="I45" s="7">
        <v>11399007.695915481</v>
      </c>
      <c r="J45" s="7">
        <v>398150240.30678385</v>
      </c>
    </row>
    <row r="46" spans="1:10" ht="27.6" outlineLevel="1" x14ac:dyDescent="0.3">
      <c r="A46" s="8">
        <v>44</v>
      </c>
      <c r="B46" s="9" t="s">
        <v>318</v>
      </c>
      <c r="C46" s="10" t="s">
        <v>26</v>
      </c>
      <c r="D46" s="9" t="s">
        <v>312</v>
      </c>
      <c r="E46" s="11">
        <v>158.858</v>
      </c>
      <c r="F46" s="7">
        <v>0</v>
      </c>
      <c r="G46" s="7">
        <v>645751.12</v>
      </c>
      <c r="H46" s="7">
        <v>1550454.3450000002</v>
      </c>
      <c r="I46" s="7">
        <v>2753866.505724167</v>
      </c>
      <c r="J46" s="7">
        <v>437473725.36632973</v>
      </c>
    </row>
    <row r="47" spans="1:10" ht="27.6" outlineLevel="1" x14ac:dyDescent="0.3">
      <c r="A47" s="8">
        <v>45</v>
      </c>
      <c r="B47" s="9" t="s">
        <v>319</v>
      </c>
      <c r="C47" s="10" t="s">
        <v>27</v>
      </c>
      <c r="D47" s="9" t="s">
        <v>312</v>
      </c>
      <c r="E47" s="11">
        <v>158.858</v>
      </c>
      <c r="F47" s="7">
        <v>0</v>
      </c>
      <c r="G47" s="7">
        <v>0</v>
      </c>
      <c r="H47" s="7">
        <v>2056623.96</v>
      </c>
      <c r="I47" s="7">
        <v>2578842.4300791896</v>
      </c>
      <c r="J47" s="7">
        <v>409669750.7575199</v>
      </c>
    </row>
    <row r="48" spans="1:10" ht="27.6" outlineLevel="1" x14ac:dyDescent="0.3">
      <c r="A48" s="8">
        <v>46</v>
      </c>
      <c r="B48" s="9" t="s">
        <v>320</v>
      </c>
      <c r="C48" s="10" t="s">
        <v>28</v>
      </c>
      <c r="D48" s="9" t="s">
        <v>315</v>
      </c>
      <c r="E48" s="11">
        <v>158.858</v>
      </c>
      <c r="F48" s="7">
        <v>0</v>
      </c>
      <c r="G48" s="7">
        <v>0</v>
      </c>
      <c r="H48" s="7">
        <v>3034774.38</v>
      </c>
      <c r="I48" s="7">
        <v>3805365.0492631951</v>
      </c>
      <c r="J48" s="7">
        <v>604512680.99585271</v>
      </c>
    </row>
    <row r="49" spans="1:10" ht="27.6" outlineLevel="1" x14ac:dyDescent="0.3">
      <c r="A49" s="8">
        <v>47</v>
      </c>
      <c r="B49" s="9" t="s">
        <v>321</v>
      </c>
      <c r="C49" s="10" t="s">
        <v>29</v>
      </c>
      <c r="D49" s="9" t="s">
        <v>315</v>
      </c>
      <c r="E49" s="11">
        <v>158.858</v>
      </c>
      <c r="F49" s="7">
        <v>0</v>
      </c>
      <c r="G49" s="7">
        <v>0</v>
      </c>
      <c r="H49" s="7">
        <v>10410613.764999999</v>
      </c>
      <c r="I49" s="7">
        <v>13054079.414862242</v>
      </c>
      <c r="J49" s="7">
        <v>2073744947.6861861</v>
      </c>
    </row>
    <row r="50" spans="1:10" ht="13.8" outlineLevel="1" x14ac:dyDescent="0.3">
      <c r="A50" s="8">
        <v>48</v>
      </c>
      <c r="B50" s="9" t="s">
        <v>317</v>
      </c>
      <c r="C50" s="10" t="s">
        <v>10</v>
      </c>
      <c r="D50" s="9" t="s">
        <v>312</v>
      </c>
      <c r="E50" s="11">
        <v>158.858</v>
      </c>
      <c r="F50" s="7">
        <v>0</v>
      </c>
      <c r="G50" s="7">
        <v>0</v>
      </c>
      <c r="H50" s="7">
        <v>175127.61199999999</v>
      </c>
      <c r="I50" s="7">
        <v>219596.05902094301</v>
      </c>
      <c r="J50" s="7">
        <v>34884590.743948966</v>
      </c>
    </row>
    <row r="51" spans="1:10" ht="27.6" outlineLevel="1" x14ac:dyDescent="0.3">
      <c r="A51" s="8">
        <v>49</v>
      </c>
      <c r="B51" s="9" t="s">
        <v>322</v>
      </c>
      <c r="C51" s="10" t="s">
        <v>30</v>
      </c>
      <c r="D51" s="9" t="s">
        <v>312</v>
      </c>
      <c r="E51" s="11">
        <v>79.817700000000002</v>
      </c>
      <c r="F51" s="7">
        <v>3825960.2280000001</v>
      </c>
      <c r="G51" s="7">
        <v>1904814</v>
      </c>
      <c r="H51" s="7">
        <v>2273194.4913300001</v>
      </c>
      <c r="I51" s="7">
        <v>10036338.457534455</v>
      </c>
      <c r="J51" s="7">
        <v>801077452.1019479</v>
      </c>
    </row>
    <row r="52" spans="1:10" ht="27.6" outlineLevel="1" x14ac:dyDescent="0.3">
      <c r="A52" s="8">
        <v>50</v>
      </c>
      <c r="B52" s="9" t="s">
        <v>323</v>
      </c>
      <c r="C52" s="10" t="s">
        <v>31</v>
      </c>
      <c r="D52" s="9" t="s">
        <v>312</v>
      </c>
      <c r="E52" s="11">
        <v>14.5123</v>
      </c>
      <c r="F52" s="7">
        <v>6287063.9249999998</v>
      </c>
      <c r="G52" s="7">
        <v>4153800</v>
      </c>
      <c r="H52" s="7">
        <v>4514228.9836649997</v>
      </c>
      <c r="I52" s="7">
        <v>18752493.838806447</v>
      </c>
      <c r="J52" s="7">
        <v>272141816.33691078</v>
      </c>
    </row>
    <row r="53" spans="1:10" ht="27.6" outlineLevel="1" x14ac:dyDescent="0.3">
      <c r="A53" s="8">
        <v>51</v>
      </c>
      <c r="B53" s="9" t="s">
        <v>324</v>
      </c>
      <c r="C53" s="10" t="s">
        <v>32</v>
      </c>
      <c r="D53" s="9" t="s">
        <v>325</v>
      </c>
      <c r="E53" s="11">
        <v>725.62</v>
      </c>
      <c r="F53" s="7">
        <v>0</v>
      </c>
      <c r="G53" s="7">
        <v>271324</v>
      </c>
      <c r="H53" s="7">
        <v>395042.5</v>
      </c>
      <c r="I53" s="7">
        <v>835570.44827162498</v>
      </c>
      <c r="J53" s="7">
        <v>606306628.67485654</v>
      </c>
    </row>
    <row r="54" spans="1:10" ht="27.6" outlineLevel="1" x14ac:dyDescent="0.3">
      <c r="A54" s="8">
        <v>52</v>
      </c>
      <c r="B54" s="9" t="s">
        <v>326</v>
      </c>
      <c r="C54" s="10" t="s">
        <v>33</v>
      </c>
      <c r="D54" s="9" t="s">
        <v>325</v>
      </c>
      <c r="E54" s="11">
        <v>4353.7</v>
      </c>
      <c r="F54" s="7">
        <v>0</v>
      </c>
      <c r="G54" s="7">
        <v>5399.9400000000005</v>
      </c>
      <c r="H54" s="7">
        <v>69692.997500000012</v>
      </c>
      <c r="I54" s="7">
        <v>94160.554963234405</v>
      </c>
      <c r="J54" s="7">
        <v>409946808.14343363</v>
      </c>
    </row>
    <row r="55" spans="1:10" ht="27.6" outlineLevel="1" x14ac:dyDescent="0.3">
      <c r="A55" s="8">
        <v>53</v>
      </c>
      <c r="B55" s="9" t="s">
        <v>327</v>
      </c>
      <c r="C55" s="10" t="s">
        <v>34</v>
      </c>
      <c r="D55" s="9" t="s">
        <v>312</v>
      </c>
      <c r="E55" s="11">
        <v>94.33</v>
      </c>
      <c r="F55" s="7">
        <v>0</v>
      </c>
      <c r="G55" s="7">
        <v>320162.32</v>
      </c>
      <c r="H55" s="7">
        <v>1958855.6529999999</v>
      </c>
      <c r="I55" s="7">
        <v>2857706.7864586529</v>
      </c>
      <c r="J55" s="7">
        <v>269567481.16664475</v>
      </c>
    </row>
    <row r="56" spans="1:10" ht="27.6" outlineLevel="1" x14ac:dyDescent="0.3">
      <c r="A56" s="8">
        <v>54</v>
      </c>
      <c r="B56" s="9" t="s">
        <v>328</v>
      </c>
      <c r="C56" s="10" t="s">
        <v>35</v>
      </c>
      <c r="D56" s="9" t="s">
        <v>312</v>
      </c>
      <c r="E56" s="11">
        <v>145.1232</v>
      </c>
      <c r="F56" s="7">
        <v>0</v>
      </c>
      <c r="G56" s="7">
        <v>0</v>
      </c>
      <c r="H56" s="7">
        <v>3003423.4050000003</v>
      </c>
      <c r="I56" s="7">
        <v>3766053.4268534519</v>
      </c>
      <c r="J56" s="7">
        <v>546541724.67593884</v>
      </c>
    </row>
    <row r="57" spans="1:10" ht="27.6" outlineLevel="1" x14ac:dyDescent="0.3">
      <c r="A57" s="8">
        <v>55</v>
      </c>
      <c r="B57" s="9" t="s">
        <v>329</v>
      </c>
      <c r="C57" s="10" t="s">
        <v>36</v>
      </c>
      <c r="D57" s="9" t="s">
        <v>315</v>
      </c>
      <c r="E57" s="11">
        <v>145.1232</v>
      </c>
      <c r="F57" s="7">
        <v>0</v>
      </c>
      <c r="G57" s="7">
        <v>0</v>
      </c>
      <c r="H57" s="7">
        <v>4857311.0599999996</v>
      </c>
      <c r="I57" s="7">
        <v>6090680.6986829648</v>
      </c>
      <c r="J57" s="7">
        <v>883899073.17110765</v>
      </c>
    </row>
    <row r="58" spans="1:10" ht="27.6" outlineLevel="1" x14ac:dyDescent="0.3">
      <c r="A58" s="8">
        <v>56</v>
      </c>
      <c r="B58" s="9" t="s">
        <v>330</v>
      </c>
      <c r="C58" s="10" t="s">
        <v>37</v>
      </c>
      <c r="D58" s="9" t="s">
        <v>315</v>
      </c>
      <c r="E58" s="11">
        <v>145.1232</v>
      </c>
      <c r="F58" s="7">
        <v>0</v>
      </c>
      <c r="G58" s="7">
        <v>0</v>
      </c>
      <c r="H58" s="7">
        <v>16486432.720000001</v>
      </c>
      <c r="I58" s="7">
        <v>20672671.837870579</v>
      </c>
      <c r="J58" s="7">
        <v>3000084289.6616597</v>
      </c>
    </row>
    <row r="59" spans="1:10" ht="13.8" outlineLevel="1" x14ac:dyDescent="0.3">
      <c r="A59" s="8">
        <v>57</v>
      </c>
      <c r="B59" s="9" t="s">
        <v>331</v>
      </c>
      <c r="C59" s="10" t="s">
        <v>38</v>
      </c>
      <c r="D59" s="9" t="s">
        <v>312</v>
      </c>
      <c r="E59" s="11">
        <v>145.1232</v>
      </c>
      <c r="F59" s="7">
        <v>0</v>
      </c>
      <c r="G59" s="7">
        <v>0</v>
      </c>
      <c r="H59" s="7">
        <v>245559.36900000001</v>
      </c>
      <c r="I59" s="7">
        <v>307911.86536632228</v>
      </c>
      <c r="J59" s="7">
        <v>44685155.219929859</v>
      </c>
    </row>
    <row r="60" spans="1:10" ht="27.6" outlineLevel="1" x14ac:dyDescent="0.3">
      <c r="A60" s="8">
        <v>58</v>
      </c>
      <c r="B60" s="9" t="s">
        <v>332</v>
      </c>
      <c r="C60" s="10" t="s">
        <v>39</v>
      </c>
      <c r="D60" s="9" t="s">
        <v>312</v>
      </c>
      <c r="E60" s="11">
        <v>124.2281</v>
      </c>
      <c r="F60" s="7">
        <v>4132192.3710000003</v>
      </c>
      <c r="G60" s="7">
        <v>1981956</v>
      </c>
      <c r="H60" s="7">
        <v>3866032.9588200003</v>
      </c>
      <c r="I60" s="7">
        <v>12514351.468133228</v>
      </c>
      <c r="J60" s="7">
        <v>1554634105.6184015</v>
      </c>
    </row>
    <row r="61" spans="1:10" ht="27.6" outlineLevel="1" x14ac:dyDescent="0.3">
      <c r="A61" s="8">
        <v>59</v>
      </c>
      <c r="B61" s="9" t="s">
        <v>333</v>
      </c>
      <c r="C61" s="10" t="s">
        <v>40</v>
      </c>
      <c r="D61" s="9" t="s">
        <v>312</v>
      </c>
      <c r="E61" s="11">
        <v>14.6151</v>
      </c>
      <c r="F61" s="7">
        <v>7272667.4249999998</v>
      </c>
      <c r="G61" s="7">
        <v>5043900</v>
      </c>
      <c r="H61" s="7">
        <v>7061796.8637300003</v>
      </c>
      <c r="I61" s="7">
        <v>24298923.393515397</v>
      </c>
      <c r="J61" s="7">
        <v>355131195.28856689</v>
      </c>
    </row>
    <row r="62" spans="1:10" ht="27.6" outlineLevel="1" x14ac:dyDescent="0.3">
      <c r="A62" s="8">
        <v>60</v>
      </c>
      <c r="B62" s="9" t="s">
        <v>334</v>
      </c>
      <c r="C62" s="10" t="s">
        <v>41</v>
      </c>
      <c r="D62" s="9" t="s">
        <v>325</v>
      </c>
      <c r="E62" s="11">
        <v>730.75</v>
      </c>
      <c r="F62" s="7">
        <v>0</v>
      </c>
      <c r="G62" s="7">
        <v>312022.59999999998</v>
      </c>
      <c r="H62" s="7">
        <v>437685.94300000003</v>
      </c>
      <c r="I62" s="7">
        <v>940074.72366569575</v>
      </c>
      <c r="J62" s="7">
        <v>686959604.31870723</v>
      </c>
    </row>
    <row r="63" spans="1:10" ht="27.6" outlineLevel="1" x14ac:dyDescent="0.3">
      <c r="A63" s="8">
        <v>61</v>
      </c>
      <c r="B63" s="9" t="s">
        <v>327</v>
      </c>
      <c r="C63" s="10" t="s">
        <v>34</v>
      </c>
      <c r="D63" s="9" t="s">
        <v>312</v>
      </c>
      <c r="E63" s="11">
        <v>138.8432</v>
      </c>
      <c r="F63" s="7">
        <v>0</v>
      </c>
      <c r="G63" s="7">
        <v>320162.32</v>
      </c>
      <c r="H63" s="7">
        <v>1958855.6529999999</v>
      </c>
      <c r="I63" s="7">
        <v>2857706.7864586529</v>
      </c>
      <c r="J63" s="7">
        <v>396773154.89363605</v>
      </c>
    </row>
    <row r="64" spans="1:10" ht="27.6" outlineLevel="1" x14ac:dyDescent="0.3">
      <c r="A64" s="8">
        <v>62</v>
      </c>
      <c r="B64" s="9" t="s">
        <v>328</v>
      </c>
      <c r="C64" s="10" t="s">
        <v>35</v>
      </c>
      <c r="D64" s="9" t="s">
        <v>312</v>
      </c>
      <c r="E64" s="11">
        <v>146.1507</v>
      </c>
      <c r="F64" s="7">
        <v>0</v>
      </c>
      <c r="G64" s="7">
        <v>0</v>
      </c>
      <c r="H64" s="7">
        <v>3003423.4050000003</v>
      </c>
      <c r="I64" s="7">
        <v>3766053.4268534519</v>
      </c>
      <c r="J64" s="7">
        <v>550411344.57203078</v>
      </c>
    </row>
    <row r="65" spans="1:10" ht="27.6" outlineLevel="1" x14ac:dyDescent="0.3">
      <c r="A65" s="8">
        <v>63</v>
      </c>
      <c r="B65" s="9" t="s">
        <v>329</v>
      </c>
      <c r="C65" s="10" t="s">
        <v>36</v>
      </c>
      <c r="D65" s="9" t="s">
        <v>315</v>
      </c>
      <c r="E65" s="11">
        <v>146.1507</v>
      </c>
      <c r="F65" s="7">
        <v>0</v>
      </c>
      <c r="G65" s="7">
        <v>0</v>
      </c>
      <c r="H65" s="7">
        <v>4857311.0599999996</v>
      </c>
      <c r="I65" s="7">
        <v>6090680.6986829648</v>
      </c>
      <c r="J65" s="7">
        <v>890157247.5890044</v>
      </c>
    </row>
    <row r="66" spans="1:10" ht="27.6" outlineLevel="1" x14ac:dyDescent="0.3">
      <c r="A66" s="8">
        <v>64</v>
      </c>
      <c r="B66" s="9" t="s">
        <v>330</v>
      </c>
      <c r="C66" s="10" t="s">
        <v>37</v>
      </c>
      <c r="D66" s="9" t="s">
        <v>315</v>
      </c>
      <c r="E66" s="11">
        <v>146.1507</v>
      </c>
      <c r="F66" s="7">
        <v>0</v>
      </c>
      <c r="G66" s="7">
        <v>0</v>
      </c>
      <c r="H66" s="7">
        <v>16486432.720000001</v>
      </c>
      <c r="I66" s="7">
        <v>20672671.837870579</v>
      </c>
      <c r="J66" s="7">
        <v>3021325459.9750719</v>
      </c>
    </row>
    <row r="67" spans="1:10" ht="13.8" outlineLevel="1" x14ac:dyDescent="0.3">
      <c r="A67" s="8">
        <v>65</v>
      </c>
      <c r="B67" s="9" t="s">
        <v>331</v>
      </c>
      <c r="C67" s="10" t="s">
        <v>38</v>
      </c>
      <c r="D67" s="9" t="s">
        <v>312</v>
      </c>
      <c r="E67" s="11">
        <v>146.1507</v>
      </c>
      <c r="F67" s="7">
        <v>0</v>
      </c>
      <c r="G67" s="7">
        <v>0</v>
      </c>
      <c r="H67" s="7">
        <v>245559.36900000001</v>
      </c>
      <c r="I67" s="7">
        <v>307911.86536632228</v>
      </c>
      <c r="J67" s="7">
        <v>45001534.661593758</v>
      </c>
    </row>
    <row r="68" spans="1:10" ht="27.6" outlineLevel="1" x14ac:dyDescent="0.3">
      <c r="A68" s="8">
        <v>66</v>
      </c>
      <c r="B68" s="9" t="s">
        <v>335</v>
      </c>
      <c r="C68" s="10" t="s">
        <v>42</v>
      </c>
      <c r="D68" s="9" t="s">
        <v>312</v>
      </c>
      <c r="E68" s="11">
        <v>148.01225899999997</v>
      </c>
      <c r="F68" s="7">
        <v>0</v>
      </c>
      <c r="G68" s="7">
        <v>122095.8</v>
      </c>
      <c r="H68" s="7">
        <v>802811.57300000009</v>
      </c>
      <c r="I68" s="7">
        <v>1159760.0843790034</v>
      </c>
      <c r="J68" s="7">
        <v>171658709.98696688</v>
      </c>
    </row>
    <row r="69" spans="1:10" ht="27.6" outlineLevel="1" x14ac:dyDescent="0.3">
      <c r="A69" s="8">
        <v>67</v>
      </c>
      <c r="B69" s="9" t="s">
        <v>313</v>
      </c>
      <c r="C69" s="10" t="s">
        <v>7</v>
      </c>
      <c r="D69" s="9" t="s">
        <v>312</v>
      </c>
      <c r="E69" s="11">
        <v>148.01225899999997</v>
      </c>
      <c r="F69" s="7">
        <v>0</v>
      </c>
      <c r="G69" s="7">
        <v>0</v>
      </c>
      <c r="H69" s="7">
        <v>1607259.9850000001</v>
      </c>
      <c r="I69" s="7">
        <v>2015375.8422061962</v>
      </c>
      <c r="J69" s="7">
        <v>298300331.13896656</v>
      </c>
    </row>
    <row r="70" spans="1:10" ht="27.6" outlineLevel="1" x14ac:dyDescent="0.3">
      <c r="A70" s="8">
        <v>68</v>
      </c>
      <c r="B70" s="9" t="s">
        <v>336</v>
      </c>
      <c r="C70" s="10" t="s">
        <v>43</v>
      </c>
      <c r="D70" s="9" t="s">
        <v>312</v>
      </c>
      <c r="E70" s="11">
        <v>122.3856</v>
      </c>
      <c r="F70" s="7">
        <v>0</v>
      </c>
      <c r="G70" s="7">
        <v>157367.91999999998</v>
      </c>
      <c r="H70" s="7">
        <v>684735.03799999994</v>
      </c>
      <c r="I70" s="7">
        <v>1055929.9516210994</v>
      </c>
      <c r="J70" s="7">
        <v>129230620.68711922</v>
      </c>
    </row>
    <row r="71" spans="1:10" ht="27.6" outlineLevel="1" x14ac:dyDescent="0.3">
      <c r="A71" s="8">
        <v>69</v>
      </c>
      <c r="B71" s="9" t="s">
        <v>337</v>
      </c>
      <c r="C71" s="10" t="s">
        <v>44</v>
      </c>
      <c r="D71" s="9" t="s">
        <v>312</v>
      </c>
      <c r="E71" s="11">
        <v>8.5987000000000009</v>
      </c>
      <c r="F71" s="7">
        <v>0</v>
      </c>
      <c r="G71" s="7">
        <v>1934540.1199999999</v>
      </c>
      <c r="H71" s="7">
        <v>1802333.2679999999</v>
      </c>
      <c r="I71" s="7">
        <v>4685741.2128993068</v>
      </c>
      <c r="J71" s="7">
        <v>40291282.96735727</v>
      </c>
    </row>
    <row r="72" spans="1:10" ht="41.4" outlineLevel="1" x14ac:dyDescent="0.3">
      <c r="A72" s="8">
        <v>70</v>
      </c>
      <c r="B72" s="9" t="s">
        <v>338</v>
      </c>
      <c r="C72" s="10" t="s">
        <v>45</v>
      </c>
      <c r="D72" s="9" t="s">
        <v>312</v>
      </c>
      <c r="E72" s="11">
        <v>393.7647174999999</v>
      </c>
      <c r="F72" s="7">
        <v>0</v>
      </c>
      <c r="G72" s="7">
        <v>1236595.5</v>
      </c>
      <c r="H72" s="7">
        <v>3417299.5069500003</v>
      </c>
      <c r="I72" s="7">
        <v>5835613.1905884957</v>
      </c>
      <c r="J72" s="7">
        <v>2297858579.4313521</v>
      </c>
    </row>
    <row r="73" spans="1:10" ht="27.6" outlineLevel="1" x14ac:dyDescent="0.3">
      <c r="A73" s="8">
        <v>71</v>
      </c>
      <c r="B73" s="9" t="s">
        <v>339</v>
      </c>
      <c r="C73" s="10" t="s">
        <v>46</v>
      </c>
      <c r="D73" s="9" t="s">
        <v>312</v>
      </c>
      <c r="E73" s="11">
        <v>393.7647174999999</v>
      </c>
      <c r="F73" s="7">
        <v>0</v>
      </c>
      <c r="G73" s="7">
        <v>0</v>
      </c>
      <c r="H73" s="7">
        <v>8921527.5600000005</v>
      </c>
      <c r="I73" s="7">
        <v>11186884.068417091</v>
      </c>
      <c r="J73" s="7">
        <v>4405000244.9055052</v>
      </c>
    </row>
    <row r="74" spans="1:10" ht="27.6" outlineLevel="1" x14ac:dyDescent="0.3">
      <c r="A74" s="8">
        <v>72</v>
      </c>
      <c r="B74" s="9" t="s">
        <v>340</v>
      </c>
      <c r="C74" s="10" t="s">
        <v>47</v>
      </c>
      <c r="D74" s="9" t="s">
        <v>325</v>
      </c>
      <c r="E74" s="11">
        <v>1483.43</v>
      </c>
      <c r="F74" s="7">
        <v>1055582.1144866801</v>
      </c>
      <c r="G74" s="7">
        <v>206099.25</v>
      </c>
      <c r="H74" s="7">
        <v>92608.176999999996</v>
      </c>
      <c r="I74" s="7">
        <v>1698171.0804333631</v>
      </c>
      <c r="J74" s="7">
        <v>2519117925.8472638</v>
      </c>
    </row>
    <row r="75" spans="1:10" ht="27.6" outlineLevel="1" x14ac:dyDescent="0.3">
      <c r="A75" s="8">
        <v>73</v>
      </c>
      <c r="B75" s="9" t="s">
        <v>341</v>
      </c>
      <c r="C75" s="10" t="s">
        <v>48</v>
      </c>
      <c r="D75" s="9" t="s">
        <v>342</v>
      </c>
      <c r="E75" s="11">
        <v>0.84682000000000002</v>
      </c>
      <c r="F75" s="7">
        <v>14446806.720000001</v>
      </c>
      <c r="G75" s="7">
        <v>2304835</v>
      </c>
      <c r="H75" s="7">
        <v>626069.44000000006</v>
      </c>
      <c r="I75" s="7">
        <v>21790263.92217499</v>
      </c>
      <c r="J75" s="7">
        <v>18452431.294576224</v>
      </c>
    </row>
    <row r="76" spans="1:10" ht="27.6" outlineLevel="1" x14ac:dyDescent="0.3">
      <c r="A76" s="8">
        <v>74</v>
      </c>
      <c r="B76" s="9" t="s">
        <v>343</v>
      </c>
      <c r="C76" s="10" t="s">
        <v>49</v>
      </c>
      <c r="D76" s="9" t="s">
        <v>342</v>
      </c>
      <c r="E76" s="11">
        <v>69.149230000000003</v>
      </c>
      <c r="F76" s="7">
        <v>14583066.65</v>
      </c>
      <c r="G76" s="7">
        <v>1679795</v>
      </c>
      <c r="H76" s="7">
        <v>645472.34000000008</v>
      </c>
      <c r="I76" s="7">
        <v>21201702.383824304</v>
      </c>
      <c r="J76" s="7">
        <v>1466081394.5306151</v>
      </c>
    </row>
    <row r="77" spans="1:10" ht="13.8" outlineLevel="1" x14ac:dyDescent="0.3">
      <c r="A77" s="8">
        <v>75</v>
      </c>
      <c r="B77" s="9" t="s">
        <v>344</v>
      </c>
      <c r="C77" s="10" t="s">
        <v>50</v>
      </c>
      <c r="D77" s="9" t="s">
        <v>345</v>
      </c>
      <c r="E77" s="11">
        <v>14.834300000000001</v>
      </c>
      <c r="F77" s="7">
        <v>1302754.74</v>
      </c>
      <c r="G77" s="7">
        <v>3995962.25</v>
      </c>
      <c r="H77" s="7">
        <v>391620.88079999998</v>
      </c>
      <c r="I77" s="7">
        <v>7135229.8855380043</v>
      </c>
      <c r="J77" s="7">
        <v>105846140.69103642</v>
      </c>
    </row>
    <row r="78" spans="1:10" ht="27.6" outlineLevel="1" x14ac:dyDescent="0.3">
      <c r="A78" s="8">
        <v>76</v>
      </c>
      <c r="B78" s="9" t="s">
        <v>346</v>
      </c>
      <c r="C78" s="10" t="s">
        <v>51</v>
      </c>
      <c r="D78" s="9" t="s">
        <v>325</v>
      </c>
      <c r="E78" s="11">
        <v>2838.15</v>
      </c>
      <c r="F78" s="7">
        <v>1065830.4845302401</v>
      </c>
      <c r="G78" s="7">
        <v>619030</v>
      </c>
      <c r="H78" s="7">
        <v>144022.89636000001</v>
      </c>
      <c r="I78" s="7">
        <v>2293273.9061867348</v>
      </c>
      <c r="J78" s="7">
        <v>6508655336.8438816</v>
      </c>
    </row>
    <row r="79" spans="1:10" ht="27.6" outlineLevel="1" x14ac:dyDescent="0.3">
      <c r="A79" s="8">
        <v>77</v>
      </c>
      <c r="B79" s="9" t="s">
        <v>347</v>
      </c>
      <c r="C79" s="10" t="s">
        <v>52</v>
      </c>
      <c r="D79" s="9" t="s">
        <v>342</v>
      </c>
      <c r="E79" s="11">
        <v>2.11388</v>
      </c>
      <c r="F79" s="7">
        <v>14446806.720000001</v>
      </c>
      <c r="G79" s="7">
        <v>3371610</v>
      </c>
      <c r="H79" s="7">
        <v>688106.74512000009</v>
      </c>
      <c r="I79" s="7">
        <v>23205704.530014135</v>
      </c>
      <c r="J79" s="7">
        <v>49054074.691906281</v>
      </c>
    </row>
    <row r="80" spans="1:10" ht="27.6" outlineLevel="1" x14ac:dyDescent="0.3">
      <c r="A80" s="8">
        <v>78</v>
      </c>
      <c r="B80" s="9" t="s">
        <v>348</v>
      </c>
      <c r="C80" s="10" t="s">
        <v>53</v>
      </c>
      <c r="D80" s="9" t="s">
        <v>342</v>
      </c>
      <c r="E80" s="11">
        <v>93.965199999999996</v>
      </c>
      <c r="F80" s="7">
        <v>14583066.65</v>
      </c>
      <c r="G80" s="7">
        <v>2695485</v>
      </c>
      <c r="H80" s="7">
        <v>703771.37676000013</v>
      </c>
      <c r="I80" s="7">
        <v>22548398.98529565</v>
      </c>
      <c r="J80" s="7">
        <v>2118764820.3331027</v>
      </c>
    </row>
    <row r="81" spans="1:10" ht="13.8" outlineLevel="1" x14ac:dyDescent="0.3">
      <c r="A81" s="8">
        <v>79</v>
      </c>
      <c r="B81" s="9" t="s">
        <v>349</v>
      </c>
      <c r="C81" s="10" t="s">
        <v>54</v>
      </c>
      <c r="D81" s="9" t="s">
        <v>345</v>
      </c>
      <c r="E81" s="11">
        <v>113.52600000000001</v>
      </c>
      <c r="F81" s="7">
        <v>2152725.4455000004</v>
      </c>
      <c r="G81" s="7">
        <v>9296728.5</v>
      </c>
      <c r="H81" s="7">
        <v>1211538.8232</v>
      </c>
      <c r="I81" s="7">
        <v>15875875.217776498</v>
      </c>
      <c r="J81" s="7">
        <v>1802324609.973295</v>
      </c>
    </row>
    <row r="82" spans="1:10" ht="27.6" outlineLevel="1" x14ac:dyDescent="0.3">
      <c r="A82" s="8">
        <v>80</v>
      </c>
      <c r="B82" s="9" t="s">
        <v>350</v>
      </c>
      <c r="C82" s="10" t="s">
        <v>55</v>
      </c>
      <c r="D82" s="9" t="s">
        <v>325</v>
      </c>
      <c r="E82" s="11">
        <v>2941.14</v>
      </c>
      <c r="F82" s="7">
        <v>1065830.4845302401</v>
      </c>
      <c r="G82" s="7">
        <v>444740</v>
      </c>
      <c r="H82" s="7">
        <v>145495.43160000001</v>
      </c>
      <c r="I82" s="7">
        <v>2076574.5875705094</v>
      </c>
      <c r="J82" s="7">
        <v>6107496582.4871273</v>
      </c>
    </row>
    <row r="83" spans="1:10" ht="27.6" outlineLevel="1" x14ac:dyDescent="0.3">
      <c r="A83" s="8">
        <v>81</v>
      </c>
      <c r="B83" s="9" t="s">
        <v>351</v>
      </c>
      <c r="C83" s="10" t="s">
        <v>56</v>
      </c>
      <c r="D83" s="9" t="s">
        <v>342</v>
      </c>
      <c r="E83" s="11">
        <v>35.552839999999996</v>
      </c>
      <c r="F83" s="7">
        <v>14446806.720000001</v>
      </c>
      <c r="G83" s="7">
        <v>3089140</v>
      </c>
      <c r="H83" s="7">
        <v>626069.44000000006</v>
      </c>
      <c r="I83" s="7">
        <v>22773719.843851238</v>
      </c>
      <c r="J83" s="7">
        <v>809670417.81326795</v>
      </c>
    </row>
    <row r="84" spans="1:10" ht="27.6" outlineLevel="1" x14ac:dyDescent="0.3">
      <c r="A84" s="8">
        <v>82</v>
      </c>
      <c r="B84" s="9" t="s">
        <v>352</v>
      </c>
      <c r="C84" s="10" t="s">
        <v>57</v>
      </c>
      <c r="D84" s="9" t="s">
        <v>342</v>
      </c>
      <c r="E84" s="11">
        <v>71.417100000000005</v>
      </c>
      <c r="F84" s="7">
        <v>14583066.65</v>
      </c>
      <c r="G84" s="7">
        <v>2407005</v>
      </c>
      <c r="H84" s="7">
        <v>645472.34000000008</v>
      </c>
      <c r="I84" s="7">
        <v>22113565.728826795</v>
      </c>
      <c r="J84" s="7">
        <v>1579286735.0121963</v>
      </c>
    </row>
    <row r="85" spans="1:10" ht="13.8" outlineLevel="1" x14ac:dyDescent="0.3">
      <c r="A85" s="8">
        <v>83</v>
      </c>
      <c r="B85" s="9" t="s">
        <v>349</v>
      </c>
      <c r="C85" s="10" t="s">
        <v>58</v>
      </c>
      <c r="D85" s="9" t="s">
        <v>345</v>
      </c>
      <c r="E85" s="11">
        <v>117.6456</v>
      </c>
      <c r="F85" s="7">
        <v>2152725.4455000004</v>
      </c>
      <c r="G85" s="7">
        <v>9296728.5</v>
      </c>
      <c r="H85" s="7">
        <v>716379.66</v>
      </c>
      <c r="I85" s="7">
        <v>15254985.116066962</v>
      </c>
      <c r="J85" s="7">
        <v>1794681876.9707675</v>
      </c>
    </row>
    <row r="86" spans="1:10" ht="27.6" outlineLevel="1" x14ac:dyDescent="0.3">
      <c r="A86" s="8">
        <v>84</v>
      </c>
      <c r="B86" s="9" t="s">
        <v>346</v>
      </c>
      <c r="C86" s="10" t="s">
        <v>59</v>
      </c>
      <c r="D86" s="9" t="s">
        <v>325</v>
      </c>
      <c r="E86" s="11">
        <v>6562.81</v>
      </c>
      <c r="F86" s="7">
        <v>1065830.4845302401</v>
      </c>
      <c r="G86" s="7">
        <v>619030</v>
      </c>
      <c r="H86" s="7">
        <v>144022.89636000001</v>
      </c>
      <c r="I86" s="7">
        <v>2293273.9061867348</v>
      </c>
      <c r="J86" s="7">
        <v>15050320924.261366</v>
      </c>
    </row>
    <row r="87" spans="1:10" ht="27.6" outlineLevel="1" x14ac:dyDescent="0.3">
      <c r="A87" s="8">
        <v>85</v>
      </c>
      <c r="B87" s="9" t="s">
        <v>347</v>
      </c>
      <c r="C87" s="10" t="s">
        <v>56</v>
      </c>
      <c r="D87" s="9" t="s">
        <v>342</v>
      </c>
      <c r="E87" s="11">
        <v>48.076430000000002</v>
      </c>
      <c r="F87" s="7">
        <v>14446806.720000001</v>
      </c>
      <c r="G87" s="7">
        <v>3371610</v>
      </c>
      <c r="H87" s="7">
        <v>688106.74512000009</v>
      </c>
      <c r="I87" s="7">
        <v>23205704.530014135</v>
      </c>
      <c r="J87" s="7">
        <v>1115647429.4379075</v>
      </c>
    </row>
    <row r="88" spans="1:10" ht="27.6" outlineLevel="1" x14ac:dyDescent="0.3">
      <c r="A88" s="8">
        <v>86</v>
      </c>
      <c r="B88" s="9" t="s">
        <v>348</v>
      </c>
      <c r="C88" s="10" t="s">
        <v>57</v>
      </c>
      <c r="D88" s="9" t="s">
        <v>342</v>
      </c>
      <c r="E88" s="11">
        <v>206.18935999999999</v>
      </c>
      <c r="F88" s="7">
        <v>14583066.65</v>
      </c>
      <c r="G88" s="7">
        <v>2695485</v>
      </c>
      <c r="H88" s="7">
        <v>703771.37676000013</v>
      </c>
      <c r="I88" s="7">
        <v>22548398.98529565</v>
      </c>
      <c r="J88" s="7">
        <v>4649239955.8027592</v>
      </c>
    </row>
    <row r="89" spans="1:10" ht="13.8" outlineLevel="1" x14ac:dyDescent="0.3">
      <c r="A89" s="8">
        <v>87</v>
      </c>
      <c r="B89" s="9" t="s">
        <v>349</v>
      </c>
      <c r="C89" s="10" t="s">
        <v>58</v>
      </c>
      <c r="D89" s="9" t="s">
        <v>345</v>
      </c>
      <c r="E89" s="11">
        <v>262.51240000000001</v>
      </c>
      <c r="F89" s="7">
        <v>2152725.4455000004</v>
      </c>
      <c r="G89" s="7">
        <v>9296728.5</v>
      </c>
      <c r="H89" s="7">
        <v>1211538.8232</v>
      </c>
      <c r="I89" s="7">
        <v>15875875.217776498</v>
      </c>
      <c r="J89" s="7">
        <v>4167614105.5190315</v>
      </c>
    </row>
    <row r="90" spans="1:10" ht="27.6" outlineLevel="1" x14ac:dyDescent="0.3">
      <c r="A90" s="8">
        <v>88</v>
      </c>
      <c r="B90" s="9" t="s">
        <v>340</v>
      </c>
      <c r="C90" s="10" t="s">
        <v>60</v>
      </c>
      <c r="D90" s="9" t="s">
        <v>325</v>
      </c>
      <c r="E90" s="11">
        <v>106.2</v>
      </c>
      <c r="F90" s="7">
        <v>1055582.1144866801</v>
      </c>
      <c r="G90" s="7">
        <v>206099.25</v>
      </c>
      <c r="H90" s="7">
        <v>92608.176999999996</v>
      </c>
      <c r="I90" s="7">
        <v>1698171.0804333631</v>
      </c>
      <c r="J90" s="7">
        <v>180345768.74202317</v>
      </c>
    </row>
    <row r="91" spans="1:10" ht="27.6" outlineLevel="1" x14ac:dyDescent="0.3">
      <c r="A91" s="8">
        <v>89</v>
      </c>
      <c r="B91" s="9" t="s">
        <v>341</v>
      </c>
      <c r="C91" s="10" t="s">
        <v>61</v>
      </c>
      <c r="D91" s="9" t="s">
        <v>342</v>
      </c>
      <c r="E91" s="11">
        <v>0</v>
      </c>
      <c r="F91" s="7">
        <v>14446806.720000001</v>
      </c>
      <c r="G91" s="7">
        <v>2304835</v>
      </c>
      <c r="H91" s="7">
        <v>626069.44000000006</v>
      </c>
      <c r="I91" s="7">
        <v>21790263.92217499</v>
      </c>
      <c r="J91" s="7">
        <v>0</v>
      </c>
    </row>
    <row r="92" spans="1:10" ht="27.6" outlineLevel="1" x14ac:dyDescent="0.3">
      <c r="A92" s="8">
        <v>90</v>
      </c>
      <c r="B92" s="9" t="s">
        <v>343</v>
      </c>
      <c r="C92" s="10" t="s">
        <v>62</v>
      </c>
      <c r="D92" s="9" t="s">
        <v>342</v>
      </c>
      <c r="E92" s="11">
        <v>0</v>
      </c>
      <c r="F92" s="7">
        <v>14583066.65</v>
      </c>
      <c r="G92" s="7">
        <v>1679795</v>
      </c>
      <c r="H92" s="7">
        <v>645472.34000000008</v>
      </c>
      <c r="I92" s="7">
        <v>21201702.383824304</v>
      </c>
      <c r="J92" s="7">
        <v>0</v>
      </c>
    </row>
    <row r="93" spans="1:10" ht="13.8" outlineLevel="1" x14ac:dyDescent="0.3">
      <c r="A93" s="8">
        <v>91</v>
      </c>
      <c r="B93" s="9" t="s">
        <v>344</v>
      </c>
      <c r="C93" s="10" t="s">
        <v>50</v>
      </c>
      <c r="D93" s="9" t="s">
        <v>345</v>
      </c>
      <c r="E93" s="11">
        <v>0</v>
      </c>
      <c r="F93" s="7">
        <v>1302754.74</v>
      </c>
      <c r="G93" s="7">
        <v>3995962.25</v>
      </c>
      <c r="H93" s="7">
        <v>391620.88079999998</v>
      </c>
      <c r="I93" s="7">
        <v>7135229.8855380043</v>
      </c>
      <c r="J93" s="7">
        <v>0</v>
      </c>
    </row>
    <row r="94" spans="1:10" ht="27.6" outlineLevel="1" x14ac:dyDescent="0.3">
      <c r="A94" s="8">
        <v>92</v>
      </c>
      <c r="B94" s="9" t="s">
        <v>346</v>
      </c>
      <c r="C94" s="10" t="s">
        <v>63</v>
      </c>
      <c r="D94" s="9" t="s">
        <v>325</v>
      </c>
      <c r="E94" s="11">
        <v>152</v>
      </c>
      <c r="F94" s="7">
        <v>1065830.4845302401</v>
      </c>
      <c r="G94" s="7">
        <v>619030</v>
      </c>
      <c r="H94" s="7">
        <v>144022.89636000001</v>
      </c>
      <c r="I94" s="7">
        <v>2293273.9061867348</v>
      </c>
      <c r="J94" s="7">
        <v>348577633.74038368</v>
      </c>
    </row>
    <row r="95" spans="1:10" ht="27.6" outlineLevel="1" x14ac:dyDescent="0.3">
      <c r="A95" s="8">
        <v>93</v>
      </c>
      <c r="B95" s="9" t="s">
        <v>347</v>
      </c>
      <c r="C95" s="10" t="s">
        <v>52</v>
      </c>
      <c r="D95" s="9" t="s">
        <v>342</v>
      </c>
      <c r="E95" s="11">
        <v>0</v>
      </c>
      <c r="F95" s="7">
        <v>14446806.720000001</v>
      </c>
      <c r="G95" s="7">
        <v>3371610</v>
      </c>
      <c r="H95" s="7">
        <v>688106.74512000009</v>
      </c>
      <c r="I95" s="7">
        <v>23205704.530014135</v>
      </c>
      <c r="J95" s="7">
        <v>0</v>
      </c>
    </row>
    <row r="96" spans="1:10" ht="27.6" outlineLevel="1" x14ac:dyDescent="0.3">
      <c r="A96" s="8">
        <v>94</v>
      </c>
      <c r="B96" s="9" t="s">
        <v>348</v>
      </c>
      <c r="C96" s="10" t="s">
        <v>53</v>
      </c>
      <c r="D96" s="9" t="s">
        <v>342</v>
      </c>
      <c r="E96" s="11">
        <v>0</v>
      </c>
      <c r="F96" s="7">
        <v>14583066.65</v>
      </c>
      <c r="G96" s="7">
        <v>2695485</v>
      </c>
      <c r="H96" s="7">
        <v>703771.37676000013</v>
      </c>
      <c r="I96" s="7">
        <v>22548398.98529565</v>
      </c>
      <c r="J96" s="7">
        <v>0</v>
      </c>
    </row>
    <row r="97" spans="1:10" ht="13.8" outlineLevel="1" x14ac:dyDescent="0.3">
      <c r="A97" s="8">
        <v>95</v>
      </c>
      <c r="B97" s="9" t="s">
        <v>349</v>
      </c>
      <c r="C97" s="10" t="s">
        <v>54</v>
      </c>
      <c r="D97" s="9" t="s">
        <v>345</v>
      </c>
      <c r="E97" s="11">
        <v>0</v>
      </c>
      <c r="F97" s="7">
        <v>2152725.4455000004</v>
      </c>
      <c r="G97" s="7">
        <v>9296728.5</v>
      </c>
      <c r="H97" s="7">
        <v>1211538.8232</v>
      </c>
      <c r="I97" s="7">
        <v>15875875.217776498</v>
      </c>
      <c r="J97" s="7">
        <v>0</v>
      </c>
    </row>
    <row r="98" spans="1:10" ht="27.6" outlineLevel="1" x14ac:dyDescent="0.3">
      <c r="A98" s="8">
        <v>96</v>
      </c>
      <c r="B98" s="9" t="s">
        <v>346</v>
      </c>
      <c r="C98" s="10" t="s">
        <v>64</v>
      </c>
      <c r="D98" s="9" t="s">
        <v>325</v>
      </c>
      <c r="E98" s="11">
        <v>34.799999999999997</v>
      </c>
      <c r="F98" s="7">
        <v>1070968.7421939999</v>
      </c>
      <c r="G98" s="7">
        <v>619030</v>
      </c>
      <c r="H98" s="7">
        <v>144022.89636000001</v>
      </c>
      <c r="I98" s="7">
        <v>2299716.8715210413</v>
      </c>
      <c r="J98" s="7">
        <v>80030147.128932223</v>
      </c>
    </row>
    <row r="99" spans="1:10" ht="27.6" outlineLevel="1" x14ac:dyDescent="0.3">
      <c r="A99" s="8">
        <v>97</v>
      </c>
      <c r="B99" s="9" t="s">
        <v>347</v>
      </c>
      <c r="C99" s="10" t="s">
        <v>52</v>
      </c>
      <c r="D99" s="9" t="s">
        <v>342</v>
      </c>
      <c r="E99" s="11">
        <v>0</v>
      </c>
      <c r="F99" s="7">
        <v>14446806.720000001</v>
      </c>
      <c r="G99" s="7">
        <v>3371610</v>
      </c>
      <c r="H99" s="7">
        <v>688106.74512000009</v>
      </c>
      <c r="I99" s="7">
        <v>23205704.530014135</v>
      </c>
      <c r="J99" s="7">
        <v>0</v>
      </c>
    </row>
    <row r="100" spans="1:10" ht="27.6" outlineLevel="1" x14ac:dyDescent="0.3">
      <c r="A100" s="8">
        <v>98</v>
      </c>
      <c r="B100" s="9" t="s">
        <v>348</v>
      </c>
      <c r="C100" s="10" t="s">
        <v>53</v>
      </c>
      <c r="D100" s="9" t="s">
        <v>342</v>
      </c>
      <c r="E100" s="11">
        <v>5.55619</v>
      </c>
      <c r="F100" s="7">
        <v>14583066.65</v>
      </c>
      <c r="G100" s="7">
        <v>2695485</v>
      </c>
      <c r="H100" s="7">
        <v>703771.37676000013</v>
      </c>
      <c r="I100" s="7">
        <v>22548398.98529565</v>
      </c>
      <c r="J100" s="7">
        <v>125283188.95810984</v>
      </c>
    </row>
    <row r="101" spans="1:10" ht="13.8" outlineLevel="1" x14ac:dyDescent="0.3">
      <c r="A101" s="8">
        <v>99</v>
      </c>
      <c r="B101" s="9" t="s">
        <v>349</v>
      </c>
      <c r="C101" s="10" t="s">
        <v>54</v>
      </c>
      <c r="D101" s="9" t="s">
        <v>345</v>
      </c>
      <c r="E101" s="11">
        <v>0.34799999999999998</v>
      </c>
      <c r="F101" s="7">
        <v>2152725.4455000004</v>
      </c>
      <c r="G101" s="7">
        <v>9296728.5</v>
      </c>
      <c r="H101" s="7">
        <v>1211538.8232</v>
      </c>
      <c r="I101" s="7">
        <v>15875875.217776498</v>
      </c>
      <c r="J101" s="7">
        <v>5524804.5757862208</v>
      </c>
    </row>
    <row r="102" spans="1:10" ht="27.6" outlineLevel="1" x14ac:dyDescent="0.3">
      <c r="A102" s="8">
        <v>100</v>
      </c>
      <c r="B102" s="9" t="s">
        <v>346</v>
      </c>
      <c r="C102" s="10" t="s">
        <v>65</v>
      </c>
      <c r="D102" s="9" t="s">
        <v>325</v>
      </c>
      <c r="E102" s="11">
        <v>220.48</v>
      </c>
      <c r="F102" s="7">
        <v>1070968.7421939999</v>
      </c>
      <c r="G102" s="7">
        <v>619030</v>
      </c>
      <c r="H102" s="7">
        <v>144022.89636000001</v>
      </c>
      <c r="I102" s="7">
        <v>2299716.8715210413</v>
      </c>
      <c r="J102" s="7">
        <v>507041575.83295918</v>
      </c>
    </row>
    <row r="103" spans="1:10" ht="27.6" outlineLevel="1" x14ac:dyDescent="0.3">
      <c r="A103" s="8">
        <v>101</v>
      </c>
      <c r="B103" s="9" t="s">
        <v>347</v>
      </c>
      <c r="C103" s="10" t="s">
        <v>56</v>
      </c>
      <c r="D103" s="9" t="s">
        <v>342</v>
      </c>
      <c r="E103" s="11">
        <v>0</v>
      </c>
      <c r="F103" s="7">
        <v>14446806.720000001</v>
      </c>
      <c r="G103" s="7">
        <v>3371610</v>
      </c>
      <c r="H103" s="7">
        <v>688106.74512000009</v>
      </c>
      <c r="I103" s="7">
        <v>23205704.530014135</v>
      </c>
      <c r="J103" s="7">
        <v>0</v>
      </c>
    </row>
    <row r="104" spans="1:10" ht="27.6" outlineLevel="1" x14ac:dyDescent="0.3">
      <c r="A104" s="8">
        <v>102</v>
      </c>
      <c r="B104" s="9" t="s">
        <v>348</v>
      </c>
      <c r="C104" s="10" t="s">
        <v>57</v>
      </c>
      <c r="D104" s="9" t="s">
        <v>342</v>
      </c>
      <c r="E104" s="11">
        <v>20.215580000000003</v>
      </c>
      <c r="F104" s="7">
        <v>14583066.65</v>
      </c>
      <c r="G104" s="7">
        <v>2695485</v>
      </c>
      <c r="H104" s="7">
        <v>703771.37676000013</v>
      </c>
      <c r="I104" s="7">
        <v>22548398.98529565</v>
      </c>
      <c r="J104" s="7">
        <v>455828963.55916309</v>
      </c>
    </row>
    <row r="105" spans="1:10" ht="13.8" outlineLevel="1" x14ac:dyDescent="0.3">
      <c r="A105" s="8">
        <v>103</v>
      </c>
      <c r="B105" s="9" t="s">
        <v>349</v>
      </c>
      <c r="C105" s="10" t="s">
        <v>58</v>
      </c>
      <c r="D105" s="9" t="s">
        <v>345</v>
      </c>
      <c r="E105" s="11">
        <v>8.8192000000000004</v>
      </c>
      <c r="F105" s="7">
        <v>2152725.4455000004</v>
      </c>
      <c r="G105" s="7">
        <v>9296728.5</v>
      </c>
      <c r="H105" s="7">
        <v>1211538.8232</v>
      </c>
      <c r="I105" s="7">
        <v>15875875.217776498</v>
      </c>
      <c r="J105" s="7">
        <v>140012518.72061449</v>
      </c>
    </row>
    <row r="106" spans="1:10" ht="27.6" outlineLevel="1" x14ac:dyDescent="0.3">
      <c r="A106" s="8">
        <v>104</v>
      </c>
      <c r="B106" s="9" t="s">
        <v>353</v>
      </c>
      <c r="C106" s="10" t="s">
        <v>66</v>
      </c>
      <c r="D106" s="9" t="s">
        <v>325</v>
      </c>
      <c r="E106" s="11">
        <v>38.76</v>
      </c>
      <c r="F106" s="7">
        <v>1040075.41309225</v>
      </c>
      <c r="G106" s="7">
        <v>622035</v>
      </c>
      <c r="H106" s="7">
        <v>144022.89636000001</v>
      </c>
      <c r="I106" s="7">
        <v>2264747.1309216931</v>
      </c>
      <c r="J106" s="7">
        <v>87781598.794524819</v>
      </c>
    </row>
    <row r="107" spans="1:10" ht="27.6" outlineLevel="1" x14ac:dyDescent="0.3">
      <c r="A107" s="8">
        <v>105</v>
      </c>
      <c r="B107" s="9" t="s">
        <v>354</v>
      </c>
      <c r="C107" s="10" t="s">
        <v>67</v>
      </c>
      <c r="D107" s="9" t="s">
        <v>342</v>
      </c>
      <c r="E107" s="11">
        <v>8.30884</v>
      </c>
      <c r="F107" s="7">
        <v>14446367.627</v>
      </c>
      <c r="G107" s="7">
        <v>3017019.9999999995</v>
      </c>
      <c r="H107" s="7">
        <v>701918.48352000001</v>
      </c>
      <c r="I107" s="7">
        <v>22777845.179429766</v>
      </c>
      <c r="J107" s="7">
        <v>189257471.14065322</v>
      </c>
    </row>
    <row r="108" spans="1:10" ht="13.8" outlineLevel="1" x14ac:dyDescent="0.3">
      <c r="A108" s="8">
        <v>106</v>
      </c>
      <c r="B108" s="9" t="s">
        <v>355</v>
      </c>
      <c r="C108" s="10" t="s">
        <v>68</v>
      </c>
      <c r="D108" s="9" t="s">
        <v>345</v>
      </c>
      <c r="E108" s="11">
        <v>3.1008</v>
      </c>
      <c r="F108" s="7">
        <v>2001758.4615000002</v>
      </c>
      <c r="G108" s="7">
        <v>6524020</v>
      </c>
      <c r="H108" s="7">
        <v>1211538.8232</v>
      </c>
      <c r="I108" s="7">
        <v>12209819.323960345</v>
      </c>
      <c r="J108" s="7">
        <v>37860207.75973624</v>
      </c>
    </row>
    <row r="109" spans="1:10" ht="27.6" outlineLevel="1" x14ac:dyDescent="0.3">
      <c r="A109" s="8">
        <v>107</v>
      </c>
      <c r="B109" s="9" t="s">
        <v>340</v>
      </c>
      <c r="C109" s="10" t="s">
        <v>69</v>
      </c>
      <c r="D109" s="9" t="s">
        <v>325</v>
      </c>
      <c r="E109" s="11">
        <v>107.22</v>
      </c>
      <c r="F109" s="7">
        <v>1060670.96582675</v>
      </c>
      <c r="G109" s="7">
        <v>206099.25</v>
      </c>
      <c r="H109" s="7">
        <v>92608.176999999996</v>
      </c>
      <c r="I109" s="7">
        <v>1704552.0941779164</v>
      </c>
      <c r="J109" s="7">
        <v>182762075.5377562</v>
      </c>
    </row>
    <row r="110" spans="1:10" ht="27.6" outlineLevel="1" x14ac:dyDescent="0.3">
      <c r="A110" s="8">
        <v>108</v>
      </c>
      <c r="B110" s="9" t="s">
        <v>341</v>
      </c>
      <c r="C110" s="10" t="s">
        <v>70</v>
      </c>
      <c r="D110" s="9" t="s">
        <v>342</v>
      </c>
      <c r="E110" s="11">
        <v>1.7163299999999999</v>
      </c>
      <c r="F110" s="7">
        <v>14446806.720000001</v>
      </c>
      <c r="G110" s="7">
        <v>2304835</v>
      </c>
      <c r="H110" s="7">
        <v>626069.44000000006</v>
      </c>
      <c r="I110" s="7">
        <v>21790263.92217499</v>
      </c>
      <c r="J110" s="7">
        <v>37399283.677546598</v>
      </c>
    </row>
    <row r="111" spans="1:10" ht="27.6" outlineLevel="1" x14ac:dyDescent="0.3">
      <c r="A111" s="8">
        <v>109</v>
      </c>
      <c r="B111" s="9" t="s">
        <v>343</v>
      </c>
      <c r="C111" s="10" t="s">
        <v>71</v>
      </c>
      <c r="D111" s="9" t="s">
        <v>342</v>
      </c>
      <c r="E111" s="11">
        <v>5.2148699999999995</v>
      </c>
      <c r="F111" s="7">
        <v>14583066.65</v>
      </c>
      <c r="G111" s="7">
        <v>1679795</v>
      </c>
      <c r="H111" s="7">
        <v>645472.34000000008</v>
      </c>
      <c r="I111" s="7">
        <v>21201702.383824304</v>
      </c>
      <c r="J111" s="7">
        <v>110564121.71033384</v>
      </c>
    </row>
    <row r="112" spans="1:10" ht="13.8" outlineLevel="1" x14ac:dyDescent="0.3">
      <c r="A112" s="8">
        <v>110</v>
      </c>
      <c r="B112" s="9" t="s">
        <v>344</v>
      </c>
      <c r="C112" s="10" t="s">
        <v>50</v>
      </c>
      <c r="D112" s="9" t="s">
        <v>345</v>
      </c>
      <c r="E112" s="11">
        <v>1.0722</v>
      </c>
      <c r="F112" s="7">
        <v>1302754.74</v>
      </c>
      <c r="G112" s="7">
        <v>3995962.25</v>
      </c>
      <c r="H112" s="7">
        <v>391620.88079999998</v>
      </c>
      <c r="I112" s="7">
        <v>7135229.8855380043</v>
      </c>
      <c r="J112" s="7">
        <v>7650393.4832738489</v>
      </c>
    </row>
    <row r="113" spans="1:10" ht="27.6" outlineLevel="1" x14ac:dyDescent="0.3">
      <c r="A113" s="8">
        <v>111</v>
      </c>
      <c r="B113" s="9" t="s">
        <v>346</v>
      </c>
      <c r="C113" s="10" t="s">
        <v>72</v>
      </c>
      <c r="D113" s="9" t="s">
        <v>325</v>
      </c>
      <c r="E113" s="11">
        <v>178.63</v>
      </c>
      <c r="F113" s="7">
        <v>1070968.7421939999</v>
      </c>
      <c r="G113" s="7">
        <v>619030</v>
      </c>
      <c r="H113" s="7">
        <v>144022.89636000001</v>
      </c>
      <c r="I113" s="7">
        <v>2299716.8715210413</v>
      </c>
      <c r="J113" s="7">
        <v>410798424.75980359</v>
      </c>
    </row>
    <row r="114" spans="1:10" ht="27.6" outlineLevel="1" x14ac:dyDescent="0.3">
      <c r="A114" s="8">
        <v>112</v>
      </c>
      <c r="B114" s="9" t="s">
        <v>347</v>
      </c>
      <c r="C114" s="10" t="s">
        <v>52</v>
      </c>
      <c r="D114" s="9" t="s">
        <v>342</v>
      </c>
      <c r="E114" s="11">
        <v>4.6613100000000003</v>
      </c>
      <c r="F114" s="7">
        <v>14446806.720000001</v>
      </c>
      <c r="G114" s="7">
        <v>3371610</v>
      </c>
      <c r="H114" s="7">
        <v>688106.74512000009</v>
      </c>
      <c r="I114" s="7">
        <v>23205704.530014135</v>
      </c>
      <c r="J114" s="7">
        <v>108168982.58280019</v>
      </c>
    </row>
    <row r="115" spans="1:10" ht="27.6" outlineLevel="1" x14ac:dyDescent="0.3">
      <c r="A115" s="8">
        <v>113</v>
      </c>
      <c r="B115" s="9" t="s">
        <v>348</v>
      </c>
      <c r="C115" s="10" t="s">
        <v>53</v>
      </c>
      <c r="D115" s="9" t="s">
        <v>342</v>
      </c>
      <c r="E115" s="11">
        <v>11.390309999999999</v>
      </c>
      <c r="F115" s="7">
        <v>14583066.65</v>
      </c>
      <c r="G115" s="7">
        <v>2695485</v>
      </c>
      <c r="H115" s="7">
        <v>703771.37676000013</v>
      </c>
      <c r="I115" s="7">
        <v>22548398.98529565</v>
      </c>
      <c r="J115" s="7">
        <v>256833254.44620287</v>
      </c>
    </row>
    <row r="116" spans="1:10" ht="13.8" outlineLevel="1" x14ac:dyDescent="0.3">
      <c r="A116" s="8">
        <v>114</v>
      </c>
      <c r="B116" s="9" t="s">
        <v>349</v>
      </c>
      <c r="C116" s="10" t="s">
        <v>54</v>
      </c>
      <c r="D116" s="9" t="s">
        <v>345</v>
      </c>
      <c r="E116" s="11">
        <v>1.7863</v>
      </c>
      <c r="F116" s="7">
        <v>2152725.4455000004</v>
      </c>
      <c r="G116" s="7">
        <v>9296728.5</v>
      </c>
      <c r="H116" s="7">
        <v>1211538.8232</v>
      </c>
      <c r="I116" s="7">
        <v>15875875.217776498</v>
      </c>
      <c r="J116" s="7">
        <v>28359075.901514158</v>
      </c>
    </row>
    <row r="117" spans="1:10" ht="27.6" outlineLevel="1" x14ac:dyDescent="0.3">
      <c r="A117" s="8">
        <v>115</v>
      </c>
      <c r="B117" s="9" t="s">
        <v>350</v>
      </c>
      <c r="C117" s="10" t="s">
        <v>73</v>
      </c>
      <c r="D117" s="9" t="s">
        <v>325</v>
      </c>
      <c r="E117" s="11">
        <v>149.51</v>
      </c>
      <c r="F117" s="7">
        <v>1070968.7421939999</v>
      </c>
      <c r="G117" s="7">
        <v>444740</v>
      </c>
      <c r="H117" s="7">
        <v>145495.43160000001</v>
      </c>
      <c r="I117" s="7">
        <v>2083017.5529048159</v>
      </c>
      <c r="J117" s="7">
        <v>311431954.33479899</v>
      </c>
    </row>
    <row r="118" spans="1:10" ht="27.6" outlineLevel="1" x14ac:dyDescent="0.3">
      <c r="A118" s="8">
        <v>116</v>
      </c>
      <c r="B118" s="9" t="s">
        <v>351</v>
      </c>
      <c r="C118" s="10" t="s">
        <v>56</v>
      </c>
      <c r="D118" s="9" t="s">
        <v>342</v>
      </c>
      <c r="E118" s="11">
        <v>3.7721499999999999</v>
      </c>
      <c r="F118" s="7">
        <v>14446806.720000001</v>
      </c>
      <c r="G118" s="7">
        <v>3089140</v>
      </c>
      <c r="H118" s="7">
        <v>626069.44000000006</v>
      </c>
      <c r="I118" s="7">
        <v>22773719.843851238</v>
      </c>
      <c r="J118" s="7">
        <v>85905887.308983445</v>
      </c>
    </row>
    <row r="119" spans="1:10" ht="27.6" outlineLevel="1" x14ac:dyDescent="0.3">
      <c r="A119" s="8">
        <v>117</v>
      </c>
      <c r="B119" s="9" t="s">
        <v>352</v>
      </c>
      <c r="C119" s="10" t="s">
        <v>57</v>
      </c>
      <c r="D119" s="9" t="s">
        <v>342</v>
      </c>
      <c r="E119" s="11">
        <v>15.794739999999999</v>
      </c>
      <c r="F119" s="7">
        <v>14583066.65</v>
      </c>
      <c r="G119" s="7">
        <v>2407005</v>
      </c>
      <c r="H119" s="7">
        <v>645472.34000000008</v>
      </c>
      <c r="I119" s="7">
        <v>22113565.728826795</v>
      </c>
      <c r="J119" s="7">
        <v>349278021.15972972</v>
      </c>
    </row>
    <row r="120" spans="1:10" ht="13.8" outlineLevel="1" x14ac:dyDescent="0.3">
      <c r="A120" s="8">
        <v>118</v>
      </c>
      <c r="B120" s="9" t="s">
        <v>349</v>
      </c>
      <c r="C120" s="10" t="s">
        <v>58</v>
      </c>
      <c r="D120" s="9" t="s">
        <v>345</v>
      </c>
      <c r="E120" s="11">
        <v>5.9803999999999995</v>
      </c>
      <c r="F120" s="7">
        <v>2152725.4455000004</v>
      </c>
      <c r="G120" s="7">
        <v>9296728.5</v>
      </c>
      <c r="H120" s="7">
        <v>716379.66</v>
      </c>
      <c r="I120" s="7">
        <v>15254985.116066962</v>
      </c>
      <c r="J120" s="7">
        <v>91230912.988126859</v>
      </c>
    </row>
    <row r="121" spans="1:10" ht="27.6" outlineLevel="1" x14ac:dyDescent="0.3">
      <c r="A121" s="8">
        <v>119</v>
      </c>
      <c r="B121" s="9" t="s">
        <v>346</v>
      </c>
      <c r="C121" s="10" t="s">
        <v>74</v>
      </c>
      <c r="D121" s="9" t="s">
        <v>325</v>
      </c>
      <c r="E121" s="11">
        <v>210.51</v>
      </c>
      <c r="F121" s="7">
        <v>1070968.7421939999</v>
      </c>
      <c r="G121" s="7">
        <v>619030</v>
      </c>
      <c r="H121" s="7">
        <v>144022.89636000001</v>
      </c>
      <c r="I121" s="7">
        <v>2299716.8715210413</v>
      </c>
      <c r="J121" s="7">
        <v>484113398.62389439</v>
      </c>
    </row>
    <row r="122" spans="1:10" ht="27.6" outlineLevel="1" x14ac:dyDescent="0.3">
      <c r="A122" s="8">
        <v>120</v>
      </c>
      <c r="B122" s="9" t="s">
        <v>347</v>
      </c>
      <c r="C122" s="10" t="s">
        <v>56</v>
      </c>
      <c r="D122" s="9" t="s">
        <v>342</v>
      </c>
      <c r="E122" s="11">
        <v>7.6684399999999995</v>
      </c>
      <c r="F122" s="7">
        <v>14446806.720000001</v>
      </c>
      <c r="G122" s="7">
        <v>3371610</v>
      </c>
      <c r="H122" s="7">
        <v>688106.74512000009</v>
      </c>
      <c r="I122" s="7">
        <v>23205704.530014135</v>
      </c>
      <c r="J122" s="7">
        <v>177951552.84614158</v>
      </c>
    </row>
    <row r="123" spans="1:10" ht="27.6" outlineLevel="1" x14ac:dyDescent="0.3">
      <c r="A123" s="8">
        <v>121</v>
      </c>
      <c r="B123" s="9" t="s">
        <v>348</v>
      </c>
      <c r="C123" s="10" t="s">
        <v>57</v>
      </c>
      <c r="D123" s="9" t="s">
        <v>342</v>
      </c>
      <c r="E123" s="11">
        <v>15.01116</v>
      </c>
      <c r="F123" s="7">
        <v>14583066.65</v>
      </c>
      <c r="G123" s="7">
        <v>2695485</v>
      </c>
      <c r="H123" s="7">
        <v>703771.37676000013</v>
      </c>
      <c r="I123" s="7">
        <v>22548398.98529565</v>
      </c>
      <c r="J123" s="7">
        <v>338477624.91211063</v>
      </c>
    </row>
    <row r="124" spans="1:10" ht="13.8" outlineLevel="1" x14ac:dyDescent="0.3">
      <c r="A124" s="8">
        <v>122</v>
      </c>
      <c r="B124" s="9" t="s">
        <v>349</v>
      </c>
      <c r="C124" s="10" t="s">
        <v>58</v>
      </c>
      <c r="D124" s="9" t="s">
        <v>345</v>
      </c>
      <c r="E124" s="11">
        <v>8.420399999999999</v>
      </c>
      <c r="F124" s="7">
        <v>2152725.4455000004</v>
      </c>
      <c r="G124" s="7">
        <v>9296728.5</v>
      </c>
      <c r="H124" s="7">
        <v>1211538.8232</v>
      </c>
      <c r="I124" s="7">
        <v>15875875.217776498</v>
      </c>
      <c r="J124" s="7">
        <v>133681219.6837652</v>
      </c>
    </row>
    <row r="125" spans="1:10" ht="27.6" outlineLevel="1" x14ac:dyDescent="0.3">
      <c r="A125" s="8">
        <v>123</v>
      </c>
      <c r="B125" s="9" t="s">
        <v>356</v>
      </c>
      <c r="C125" s="10" t="s">
        <v>75</v>
      </c>
      <c r="D125" s="9" t="s">
        <v>325</v>
      </c>
      <c r="E125" s="11">
        <v>81.739999999999995</v>
      </c>
      <c r="F125" s="7">
        <v>1040075.41309225</v>
      </c>
      <c r="G125" s="7">
        <v>498830</v>
      </c>
      <c r="H125" s="7">
        <v>145495.43160000001</v>
      </c>
      <c r="I125" s="7">
        <v>2112104.3282767171</v>
      </c>
      <c r="J125" s="7">
        <v>172643407.79333884</v>
      </c>
    </row>
    <row r="126" spans="1:10" ht="27.6" outlineLevel="1" x14ac:dyDescent="0.3">
      <c r="A126" s="8">
        <v>124</v>
      </c>
      <c r="B126" s="9" t="s">
        <v>354</v>
      </c>
      <c r="C126" s="10" t="s">
        <v>67</v>
      </c>
      <c r="D126" s="9" t="s">
        <v>342</v>
      </c>
      <c r="E126" s="11">
        <v>5.5075000000000003</v>
      </c>
      <c r="F126" s="7">
        <v>14446367.627</v>
      </c>
      <c r="G126" s="7">
        <v>3017019.9999999995</v>
      </c>
      <c r="H126" s="7">
        <v>701918.48352000001</v>
      </c>
      <c r="I126" s="7">
        <v>22777845.179429766</v>
      </c>
      <c r="J126" s="7">
        <v>125448982.32570945</v>
      </c>
    </row>
    <row r="127" spans="1:10" ht="13.8" outlineLevel="1" x14ac:dyDescent="0.3">
      <c r="A127" s="8">
        <v>125</v>
      </c>
      <c r="B127" s="9" t="s">
        <v>355</v>
      </c>
      <c r="C127" s="10" t="s">
        <v>68</v>
      </c>
      <c r="D127" s="9" t="s">
        <v>345</v>
      </c>
      <c r="E127" s="11">
        <v>6.5391999999999992</v>
      </c>
      <c r="F127" s="7">
        <v>2001758.4615000002</v>
      </c>
      <c r="G127" s="7">
        <v>6524020</v>
      </c>
      <c r="H127" s="7">
        <v>716379.66</v>
      </c>
      <c r="I127" s="7">
        <v>11588929.22225081</v>
      </c>
      <c r="J127" s="7">
        <v>75782325.970142484</v>
      </c>
    </row>
    <row r="128" spans="1:10" ht="27.6" outlineLevel="1" x14ac:dyDescent="0.3">
      <c r="A128" s="8">
        <v>126</v>
      </c>
      <c r="B128" s="9" t="s">
        <v>353</v>
      </c>
      <c r="C128" s="10" t="s">
        <v>76</v>
      </c>
      <c r="D128" s="9" t="s">
        <v>325</v>
      </c>
      <c r="E128" s="11">
        <v>160.15</v>
      </c>
      <c r="F128" s="7">
        <v>1040075.41309225</v>
      </c>
      <c r="G128" s="7">
        <v>622035</v>
      </c>
      <c r="H128" s="7">
        <v>144022.89636000001</v>
      </c>
      <c r="I128" s="7">
        <v>2264747.1309216931</v>
      </c>
      <c r="J128" s="7">
        <v>362699253.01710916</v>
      </c>
    </row>
    <row r="129" spans="1:10" ht="27.6" outlineLevel="1" x14ac:dyDescent="0.3">
      <c r="A129" s="8">
        <v>127</v>
      </c>
      <c r="B129" s="9" t="s">
        <v>354</v>
      </c>
      <c r="C129" s="10" t="s">
        <v>77</v>
      </c>
      <c r="D129" s="9" t="s">
        <v>342</v>
      </c>
      <c r="E129" s="11">
        <v>15.296889999999999</v>
      </c>
      <c r="F129" s="7">
        <v>14446367.627</v>
      </c>
      <c r="G129" s="7">
        <v>3017019.9999999995</v>
      </c>
      <c r="H129" s="7">
        <v>701918.48352000001</v>
      </c>
      <c r="I129" s="7">
        <v>22777845.179429766</v>
      </c>
      <c r="J129" s="7">
        <v>348430192.14676738</v>
      </c>
    </row>
    <row r="130" spans="1:10" ht="13.8" outlineLevel="1" x14ac:dyDescent="0.3">
      <c r="A130" s="8">
        <v>128</v>
      </c>
      <c r="B130" s="9" t="s">
        <v>355</v>
      </c>
      <c r="C130" s="10" t="s">
        <v>78</v>
      </c>
      <c r="D130" s="9" t="s">
        <v>345</v>
      </c>
      <c r="E130" s="11">
        <v>12.812000000000001</v>
      </c>
      <c r="F130" s="7">
        <v>2001758.4615000002</v>
      </c>
      <c r="G130" s="7">
        <v>6524020</v>
      </c>
      <c r="H130" s="7">
        <v>1211538.8232</v>
      </c>
      <c r="I130" s="7">
        <v>12209819.323960345</v>
      </c>
      <c r="J130" s="7">
        <v>156432205.17857996</v>
      </c>
    </row>
    <row r="131" spans="1:10" ht="41.4" outlineLevel="1" x14ac:dyDescent="0.3">
      <c r="A131" s="8">
        <v>129</v>
      </c>
      <c r="B131" s="9" t="s">
        <v>357</v>
      </c>
      <c r="C131" s="10" t="s">
        <v>79</v>
      </c>
      <c r="D131" s="9" t="s">
        <v>325</v>
      </c>
      <c r="E131" s="11">
        <v>1.37</v>
      </c>
      <c r="F131" s="7">
        <v>1070968.7421939999</v>
      </c>
      <c r="G131" s="7">
        <v>700165</v>
      </c>
      <c r="H131" s="7">
        <v>166902.65100000001</v>
      </c>
      <c r="I131" s="7">
        <v>2430143.0786629184</v>
      </c>
      <c r="J131" s="7">
        <v>3329296.0177681986</v>
      </c>
    </row>
    <row r="132" spans="1:10" ht="27.6" outlineLevel="1" x14ac:dyDescent="0.3">
      <c r="A132" s="8">
        <v>130</v>
      </c>
      <c r="B132" s="9" t="s">
        <v>358</v>
      </c>
      <c r="C132" s="10" t="s">
        <v>80</v>
      </c>
      <c r="D132" s="9" t="s">
        <v>342</v>
      </c>
      <c r="E132" s="11">
        <v>8.7899999999999992E-3</v>
      </c>
      <c r="F132" s="7">
        <v>12994917.369999999</v>
      </c>
      <c r="G132" s="7">
        <v>4357250</v>
      </c>
      <c r="H132" s="7">
        <v>191512.4154</v>
      </c>
      <c r="I132" s="7">
        <v>21998375.342428707</v>
      </c>
      <c r="J132" s="7">
        <v>193365.71925994832</v>
      </c>
    </row>
    <row r="133" spans="1:10" ht="27.6" outlineLevel="1" x14ac:dyDescent="0.3">
      <c r="A133" s="8">
        <v>131</v>
      </c>
      <c r="B133" s="9" t="s">
        <v>359</v>
      </c>
      <c r="C133" s="10" t="s">
        <v>81</v>
      </c>
      <c r="D133" s="9" t="s">
        <v>342</v>
      </c>
      <c r="E133" s="11">
        <v>0</v>
      </c>
      <c r="F133" s="7">
        <v>14450243.1</v>
      </c>
      <c r="G133" s="7">
        <v>2815684.9999999995</v>
      </c>
      <c r="H133" s="7">
        <v>707210.20272000018</v>
      </c>
      <c r="I133" s="7">
        <v>22536882.073831242</v>
      </c>
      <c r="J133" s="7">
        <v>0</v>
      </c>
    </row>
    <row r="134" spans="1:10" ht="13.8" outlineLevel="1" x14ac:dyDescent="0.3">
      <c r="A134" s="8">
        <v>132</v>
      </c>
      <c r="B134" s="9" t="s">
        <v>360</v>
      </c>
      <c r="C134" s="10" t="s">
        <v>82</v>
      </c>
      <c r="D134" s="9" t="s">
        <v>345</v>
      </c>
      <c r="E134" s="11">
        <v>0.1096</v>
      </c>
      <c r="F134" s="7">
        <v>2553370.7010000008</v>
      </c>
      <c r="G134" s="7">
        <v>9763195.9299999997</v>
      </c>
      <c r="H134" s="7">
        <v>1211538.8232</v>
      </c>
      <c r="I134" s="7">
        <v>16963165.373156831</v>
      </c>
      <c r="J134" s="7">
        <v>1859162.9248979888</v>
      </c>
    </row>
    <row r="135" spans="1:10" ht="41.4" outlineLevel="1" x14ac:dyDescent="0.3">
      <c r="A135" s="8">
        <v>133</v>
      </c>
      <c r="B135" s="9" t="s">
        <v>353</v>
      </c>
      <c r="C135" s="10" t="s">
        <v>83</v>
      </c>
      <c r="D135" s="9" t="s">
        <v>325</v>
      </c>
      <c r="E135" s="11">
        <v>1.2</v>
      </c>
      <c r="F135" s="7">
        <v>1040075.41309225</v>
      </c>
      <c r="G135" s="7">
        <v>622035</v>
      </c>
      <c r="H135" s="7">
        <v>144022.89636000001</v>
      </c>
      <c r="I135" s="7">
        <v>2264747.1309216931</v>
      </c>
      <c r="J135" s="7">
        <v>2717696.5571060316</v>
      </c>
    </row>
    <row r="136" spans="1:10" ht="27.6" outlineLevel="1" x14ac:dyDescent="0.3">
      <c r="A136" s="8">
        <v>134</v>
      </c>
      <c r="B136" s="9" t="s">
        <v>354</v>
      </c>
      <c r="C136" s="10" t="s">
        <v>77</v>
      </c>
      <c r="D136" s="9" t="s">
        <v>342</v>
      </c>
      <c r="E136" s="11">
        <v>0.19975000000000001</v>
      </c>
      <c r="F136" s="7">
        <v>14446367.627</v>
      </c>
      <c r="G136" s="7">
        <v>3017019.9999999995</v>
      </c>
      <c r="H136" s="7">
        <v>701918.48352000001</v>
      </c>
      <c r="I136" s="7">
        <v>22777845.179429766</v>
      </c>
      <c r="J136" s="7">
        <v>4549874.5745910956</v>
      </c>
    </row>
    <row r="137" spans="1:10" ht="13.8" outlineLevel="1" x14ac:dyDescent="0.3">
      <c r="A137" s="8">
        <v>135</v>
      </c>
      <c r="B137" s="9" t="s">
        <v>355</v>
      </c>
      <c r="C137" s="10" t="s">
        <v>78</v>
      </c>
      <c r="D137" s="9" t="s">
        <v>345</v>
      </c>
      <c r="E137" s="11">
        <v>9.6000000000000002E-2</v>
      </c>
      <c r="F137" s="7">
        <v>2001758.4615000002</v>
      </c>
      <c r="G137" s="7">
        <v>6524020</v>
      </c>
      <c r="H137" s="7">
        <v>1211538.8232</v>
      </c>
      <c r="I137" s="7">
        <v>12209819.323960345</v>
      </c>
      <c r="J137" s="7">
        <v>1172142.6551001931</v>
      </c>
    </row>
    <row r="138" spans="1:10" ht="41.4" outlineLevel="1" x14ac:dyDescent="0.3">
      <c r="A138" s="8">
        <v>136</v>
      </c>
      <c r="B138" s="9" t="s">
        <v>353</v>
      </c>
      <c r="C138" s="10" t="s">
        <v>84</v>
      </c>
      <c r="D138" s="9" t="s">
        <v>325</v>
      </c>
      <c r="E138" s="11">
        <v>1.3</v>
      </c>
      <c r="F138" s="7">
        <v>1040075.41309225</v>
      </c>
      <c r="G138" s="7">
        <v>622035</v>
      </c>
      <c r="H138" s="7">
        <v>144022.89636000001</v>
      </c>
      <c r="I138" s="7">
        <v>2264747.1309216931</v>
      </c>
      <c r="J138" s="7">
        <v>2944171.2701982013</v>
      </c>
    </row>
    <row r="139" spans="1:10" ht="27.6" outlineLevel="1" x14ac:dyDescent="0.3">
      <c r="A139" s="8">
        <v>137</v>
      </c>
      <c r="B139" s="9" t="s">
        <v>361</v>
      </c>
      <c r="C139" s="10" t="s">
        <v>85</v>
      </c>
      <c r="D139" s="9" t="s">
        <v>342</v>
      </c>
      <c r="E139" s="11">
        <v>1.021E-2</v>
      </c>
      <c r="F139" s="7">
        <v>12994917.369999999</v>
      </c>
      <c r="G139" s="7">
        <v>4729870</v>
      </c>
      <c r="H139" s="7">
        <v>191512.4154</v>
      </c>
      <c r="I139" s="7">
        <v>22465611.105983708</v>
      </c>
      <c r="J139" s="7">
        <v>229373.88939209367</v>
      </c>
    </row>
    <row r="140" spans="1:10" ht="27.6" outlineLevel="1" x14ac:dyDescent="0.3">
      <c r="A140" s="8">
        <v>138</v>
      </c>
      <c r="B140" s="9" t="s">
        <v>362</v>
      </c>
      <c r="C140" s="10" t="s">
        <v>86</v>
      </c>
      <c r="D140" s="9" t="s">
        <v>342</v>
      </c>
      <c r="E140" s="11">
        <v>0.43010999999999999</v>
      </c>
      <c r="F140" s="7">
        <v>14447952.18</v>
      </c>
      <c r="G140" s="7">
        <v>2878790</v>
      </c>
      <c r="H140" s="7">
        <v>694315.36884000001</v>
      </c>
      <c r="I140" s="7">
        <v>22596968.986905839</v>
      </c>
      <c r="J140" s="7">
        <v>9719182.3309580702</v>
      </c>
    </row>
    <row r="141" spans="1:10" ht="13.8" outlineLevel="1" x14ac:dyDescent="0.3">
      <c r="A141" s="8">
        <v>139</v>
      </c>
      <c r="B141" s="9" t="s">
        <v>363</v>
      </c>
      <c r="C141" s="10" t="s">
        <v>87</v>
      </c>
      <c r="D141" s="9" t="s">
        <v>345</v>
      </c>
      <c r="E141" s="11">
        <v>0.10400000000000001</v>
      </c>
      <c r="F141" s="7">
        <v>2174259.2235000003</v>
      </c>
      <c r="G141" s="7">
        <v>7502623</v>
      </c>
      <c r="H141" s="7">
        <v>1211538.8232</v>
      </c>
      <c r="I141" s="7">
        <v>13653211.640983328</v>
      </c>
      <c r="J141" s="7">
        <v>1419934.0106622663</v>
      </c>
    </row>
    <row r="142" spans="1:10" ht="27.6" outlineLevel="1" x14ac:dyDescent="0.3">
      <c r="A142" s="8">
        <v>140</v>
      </c>
      <c r="B142" s="9" t="s">
        <v>340</v>
      </c>
      <c r="C142" s="10" t="s">
        <v>88</v>
      </c>
      <c r="D142" s="9" t="s">
        <v>325</v>
      </c>
      <c r="E142" s="11">
        <v>188.28</v>
      </c>
      <c r="F142" s="7">
        <v>1060670.96582675</v>
      </c>
      <c r="G142" s="7">
        <v>206099.25</v>
      </c>
      <c r="H142" s="7">
        <v>92608.176999999996</v>
      </c>
      <c r="I142" s="7">
        <v>1704552.0941779164</v>
      </c>
      <c r="J142" s="7">
        <v>320933068.29181808</v>
      </c>
    </row>
    <row r="143" spans="1:10" ht="27.6" outlineLevel="1" x14ac:dyDescent="0.3">
      <c r="A143" s="8">
        <v>141</v>
      </c>
      <c r="B143" s="9" t="s">
        <v>341</v>
      </c>
      <c r="C143" s="10" t="s">
        <v>89</v>
      </c>
      <c r="D143" s="9" t="s">
        <v>342</v>
      </c>
      <c r="E143" s="11">
        <v>9.37575</v>
      </c>
      <c r="F143" s="7">
        <v>14446806.720000001</v>
      </c>
      <c r="G143" s="7">
        <v>2304835</v>
      </c>
      <c r="H143" s="7">
        <v>626069.44000000006</v>
      </c>
      <c r="I143" s="7">
        <v>21790263.92217499</v>
      </c>
      <c r="J143" s="7">
        <v>204300066.96833217</v>
      </c>
    </row>
    <row r="144" spans="1:10" ht="13.8" outlineLevel="1" x14ac:dyDescent="0.3">
      <c r="A144" s="8">
        <v>142</v>
      </c>
      <c r="B144" s="9" t="s">
        <v>344</v>
      </c>
      <c r="C144" s="10" t="s">
        <v>50</v>
      </c>
      <c r="D144" s="9" t="s">
        <v>345</v>
      </c>
      <c r="E144" s="11">
        <v>1.8828</v>
      </c>
      <c r="F144" s="7">
        <v>1302754.74</v>
      </c>
      <c r="G144" s="7">
        <v>3995962.25</v>
      </c>
      <c r="H144" s="7">
        <v>391620.88079999998</v>
      </c>
      <c r="I144" s="7">
        <v>7135229.8855380043</v>
      </c>
      <c r="J144" s="7">
        <v>13434210.828490954</v>
      </c>
    </row>
    <row r="145" spans="1:10" ht="27.6" outlineLevel="1" x14ac:dyDescent="0.3">
      <c r="A145" s="8">
        <v>143</v>
      </c>
      <c r="B145" s="9" t="s">
        <v>340</v>
      </c>
      <c r="C145" s="10" t="s">
        <v>90</v>
      </c>
      <c r="D145" s="9" t="s">
        <v>325</v>
      </c>
      <c r="E145" s="11">
        <v>146.32</v>
      </c>
      <c r="F145" s="7">
        <v>1060670.96582675</v>
      </c>
      <c r="G145" s="7">
        <v>206099.25</v>
      </c>
      <c r="H145" s="7">
        <v>92608.176999999996</v>
      </c>
      <c r="I145" s="7">
        <v>1704552.0941779164</v>
      </c>
      <c r="J145" s="7">
        <v>249410062.42011273</v>
      </c>
    </row>
    <row r="146" spans="1:10" ht="27.6" outlineLevel="1" x14ac:dyDescent="0.3">
      <c r="A146" s="8">
        <v>144</v>
      </c>
      <c r="B146" s="9" t="s">
        <v>341</v>
      </c>
      <c r="C146" s="10" t="s">
        <v>91</v>
      </c>
      <c r="D146" s="9" t="s">
        <v>342</v>
      </c>
      <c r="E146" s="11">
        <v>5.6515600000000008</v>
      </c>
      <c r="F146" s="7">
        <v>14446806.720000001</v>
      </c>
      <c r="G146" s="7">
        <v>2304835</v>
      </c>
      <c r="H146" s="7">
        <v>626069.44000000006</v>
      </c>
      <c r="I146" s="7">
        <v>21790263.92217499</v>
      </c>
      <c r="J146" s="7">
        <v>123148983.9720073</v>
      </c>
    </row>
    <row r="147" spans="1:10" ht="27.6" outlineLevel="1" x14ac:dyDescent="0.3">
      <c r="A147" s="8">
        <v>145</v>
      </c>
      <c r="B147" s="9" t="s">
        <v>343</v>
      </c>
      <c r="C147" s="10" t="s">
        <v>92</v>
      </c>
      <c r="D147" s="9" t="s">
        <v>342</v>
      </c>
      <c r="E147" s="11">
        <v>0</v>
      </c>
      <c r="F147" s="7">
        <v>14583066.65</v>
      </c>
      <c r="G147" s="7">
        <v>1679795</v>
      </c>
      <c r="H147" s="7">
        <v>645472.34000000008</v>
      </c>
      <c r="I147" s="7">
        <v>21201702.383824304</v>
      </c>
      <c r="J147" s="7">
        <v>0</v>
      </c>
    </row>
    <row r="148" spans="1:10" ht="13.8" outlineLevel="1" x14ac:dyDescent="0.3">
      <c r="A148" s="8">
        <v>146</v>
      </c>
      <c r="B148" s="9" t="s">
        <v>344</v>
      </c>
      <c r="C148" s="10" t="s">
        <v>50</v>
      </c>
      <c r="D148" s="9" t="s">
        <v>345</v>
      </c>
      <c r="E148" s="11">
        <v>1.4631999999999998</v>
      </c>
      <c r="F148" s="7">
        <v>1302754.74</v>
      </c>
      <c r="G148" s="7">
        <v>3995962.25</v>
      </c>
      <c r="H148" s="7">
        <v>391620.88079999998</v>
      </c>
      <c r="I148" s="7">
        <v>7135229.8855380043</v>
      </c>
      <c r="J148" s="7">
        <v>10440268.368519207</v>
      </c>
    </row>
    <row r="149" spans="1:10" ht="27.6" outlineLevel="1" x14ac:dyDescent="0.3">
      <c r="A149" s="8">
        <v>147</v>
      </c>
      <c r="B149" s="9" t="s">
        <v>350</v>
      </c>
      <c r="C149" s="10" t="s">
        <v>93</v>
      </c>
      <c r="D149" s="9" t="s">
        <v>325</v>
      </c>
      <c r="E149" s="11">
        <v>277.27</v>
      </c>
      <c r="F149" s="7">
        <v>1070968.7421939999</v>
      </c>
      <c r="G149" s="7">
        <v>444740</v>
      </c>
      <c r="H149" s="7">
        <v>145495.43160000001</v>
      </c>
      <c r="I149" s="7">
        <v>2083017.5529048159</v>
      </c>
      <c r="J149" s="7">
        <v>577558276.89391828</v>
      </c>
    </row>
    <row r="150" spans="1:10" ht="27.6" outlineLevel="1" x14ac:dyDescent="0.3">
      <c r="A150" s="8">
        <v>148</v>
      </c>
      <c r="B150" s="9" t="s">
        <v>351</v>
      </c>
      <c r="C150" s="10" t="s">
        <v>94</v>
      </c>
      <c r="D150" s="9" t="s">
        <v>342</v>
      </c>
      <c r="E150" s="11">
        <v>13.82516</v>
      </c>
      <c r="F150" s="7">
        <v>14446806.720000001</v>
      </c>
      <c r="G150" s="7">
        <v>3089140</v>
      </c>
      <c r="H150" s="7">
        <v>626069.44000000006</v>
      </c>
      <c r="I150" s="7">
        <v>22773719.843851238</v>
      </c>
      <c r="J150" s="7">
        <v>314850320.6364184</v>
      </c>
    </row>
    <row r="151" spans="1:10" ht="27.6" outlineLevel="1" x14ac:dyDescent="0.3">
      <c r="A151" s="8">
        <v>149</v>
      </c>
      <c r="B151" s="9" t="s">
        <v>352</v>
      </c>
      <c r="C151" s="10" t="s">
        <v>95</v>
      </c>
      <c r="D151" s="9" t="s">
        <v>342</v>
      </c>
      <c r="E151" s="11">
        <v>0</v>
      </c>
      <c r="F151" s="7">
        <v>14583066.65</v>
      </c>
      <c r="G151" s="7">
        <v>2407005</v>
      </c>
      <c r="H151" s="7">
        <v>645472.34000000008</v>
      </c>
      <c r="I151" s="7">
        <v>22113565.728826795</v>
      </c>
      <c r="J151" s="7">
        <v>0</v>
      </c>
    </row>
    <row r="152" spans="1:10" ht="13.8" outlineLevel="1" x14ac:dyDescent="0.3">
      <c r="A152" s="8">
        <v>150</v>
      </c>
      <c r="B152" s="9" t="s">
        <v>349</v>
      </c>
      <c r="C152" s="10" t="s">
        <v>58</v>
      </c>
      <c r="D152" s="9" t="s">
        <v>345</v>
      </c>
      <c r="E152" s="11">
        <v>11.0908</v>
      </c>
      <c r="F152" s="7">
        <v>2152725.4455000004</v>
      </c>
      <c r="G152" s="7">
        <v>9296728.5</v>
      </c>
      <c r="H152" s="7">
        <v>716379.66</v>
      </c>
      <c r="I152" s="7">
        <v>15254985.116066962</v>
      </c>
      <c r="J152" s="7">
        <v>169189988.92527547</v>
      </c>
    </row>
    <row r="153" spans="1:10" ht="27.6" outlineLevel="1" x14ac:dyDescent="0.3">
      <c r="A153" s="8">
        <v>151</v>
      </c>
      <c r="B153" s="9" t="s">
        <v>356</v>
      </c>
      <c r="C153" s="10" t="s">
        <v>96</v>
      </c>
      <c r="D153" s="9" t="s">
        <v>325</v>
      </c>
      <c r="E153" s="11">
        <v>25.48</v>
      </c>
      <c r="F153" s="7">
        <v>1040075.41309225</v>
      </c>
      <c r="G153" s="7">
        <v>498830</v>
      </c>
      <c r="H153" s="7">
        <v>145495.43160000001</v>
      </c>
      <c r="I153" s="7">
        <v>2112104.3282767171</v>
      </c>
      <c r="J153" s="7">
        <v>53816418.284490749</v>
      </c>
    </row>
    <row r="154" spans="1:10" ht="27.6" outlineLevel="1" x14ac:dyDescent="0.3">
      <c r="A154" s="8">
        <v>152</v>
      </c>
      <c r="B154" s="9" t="s">
        <v>354</v>
      </c>
      <c r="C154" s="10" t="s">
        <v>97</v>
      </c>
      <c r="D154" s="9" t="s">
        <v>342</v>
      </c>
      <c r="E154" s="11">
        <v>6.7781199999999995</v>
      </c>
      <c r="F154" s="7">
        <v>14446367.627</v>
      </c>
      <c r="G154" s="7">
        <v>3017019.9999999995</v>
      </c>
      <c r="H154" s="7">
        <v>701918.48352000001</v>
      </c>
      <c r="I154" s="7">
        <v>22777845.179429766</v>
      </c>
      <c r="J154" s="7">
        <v>154390967.96759647</v>
      </c>
    </row>
    <row r="155" spans="1:10" ht="13.8" outlineLevel="1" x14ac:dyDescent="0.3">
      <c r="A155" s="8">
        <v>153</v>
      </c>
      <c r="B155" s="9" t="s">
        <v>355</v>
      </c>
      <c r="C155" s="10" t="s">
        <v>98</v>
      </c>
      <c r="D155" s="9" t="s">
        <v>345</v>
      </c>
      <c r="E155" s="11">
        <v>2.0384000000000002</v>
      </c>
      <c r="F155" s="7">
        <v>2001758.4615000002</v>
      </c>
      <c r="G155" s="7">
        <v>6524020</v>
      </c>
      <c r="H155" s="7">
        <v>716379.66</v>
      </c>
      <c r="I155" s="7">
        <v>11588929.22225081</v>
      </c>
      <c r="J155" s="7">
        <v>23622873.326636054</v>
      </c>
    </row>
    <row r="156" spans="1:10" ht="27.6" outlineLevel="1" x14ac:dyDescent="0.3">
      <c r="A156" s="8">
        <v>154</v>
      </c>
      <c r="B156" s="9" t="s">
        <v>356</v>
      </c>
      <c r="C156" s="10" t="s">
        <v>99</v>
      </c>
      <c r="D156" s="9" t="s">
        <v>325</v>
      </c>
      <c r="E156" s="11">
        <v>5.81</v>
      </c>
      <c r="F156" s="7">
        <v>1040075.41309225</v>
      </c>
      <c r="G156" s="7">
        <v>498830</v>
      </c>
      <c r="H156" s="7">
        <v>145495.43160000001</v>
      </c>
      <c r="I156" s="7">
        <v>2112104.3282767171</v>
      </c>
      <c r="J156" s="7">
        <v>12271326.147287726</v>
      </c>
    </row>
    <row r="157" spans="1:10" ht="27.6" outlineLevel="1" x14ac:dyDescent="0.3">
      <c r="A157" s="8">
        <v>155</v>
      </c>
      <c r="B157" s="9" t="s">
        <v>364</v>
      </c>
      <c r="C157" s="10" t="s">
        <v>100</v>
      </c>
      <c r="D157" s="9" t="s">
        <v>342</v>
      </c>
      <c r="E157" s="11">
        <v>0</v>
      </c>
      <c r="F157" s="7">
        <v>12994917.369999999</v>
      </c>
      <c r="G157" s="7">
        <v>4624695</v>
      </c>
      <c r="H157" s="7">
        <v>127076</v>
      </c>
      <c r="I157" s="7">
        <v>22252931.91758249</v>
      </c>
      <c r="J157" s="7">
        <v>0</v>
      </c>
    </row>
    <row r="158" spans="1:10" ht="27.6" outlineLevel="1" x14ac:dyDescent="0.3">
      <c r="A158" s="8">
        <v>156</v>
      </c>
      <c r="B158" s="9" t="s">
        <v>365</v>
      </c>
      <c r="C158" s="10" t="s">
        <v>101</v>
      </c>
      <c r="D158" s="9" t="s">
        <v>342</v>
      </c>
      <c r="E158" s="11">
        <v>0</v>
      </c>
      <c r="F158" s="7">
        <v>14447952.18</v>
      </c>
      <c r="G158" s="7">
        <v>2776620</v>
      </c>
      <c r="H158" s="7">
        <v>632156.326</v>
      </c>
      <c r="I158" s="7">
        <v>22390913.472425647</v>
      </c>
      <c r="J158" s="7">
        <v>0</v>
      </c>
    </row>
    <row r="159" spans="1:10" ht="13.8" outlineLevel="1" x14ac:dyDescent="0.3">
      <c r="A159" s="8">
        <v>157</v>
      </c>
      <c r="B159" s="9" t="s">
        <v>363</v>
      </c>
      <c r="C159" s="10" t="s">
        <v>87</v>
      </c>
      <c r="D159" s="9" t="s">
        <v>345</v>
      </c>
      <c r="E159" s="11">
        <v>0</v>
      </c>
      <c r="F159" s="7">
        <v>2174259.2235000003</v>
      </c>
      <c r="G159" s="7">
        <v>7502623</v>
      </c>
      <c r="H159" s="7">
        <v>716379.66</v>
      </c>
      <c r="I159" s="7">
        <v>13032321.539273791</v>
      </c>
      <c r="J159" s="7">
        <v>0</v>
      </c>
    </row>
    <row r="160" spans="1:10" ht="27.6" outlineLevel="1" x14ac:dyDescent="0.3">
      <c r="A160" s="8">
        <v>158</v>
      </c>
      <c r="B160" s="9" t="s">
        <v>366</v>
      </c>
      <c r="C160" s="10" t="s">
        <v>102</v>
      </c>
      <c r="D160" s="9" t="s">
        <v>325</v>
      </c>
      <c r="E160" s="11">
        <v>0.68</v>
      </c>
      <c r="F160" s="7">
        <v>1132600.312506</v>
      </c>
      <c r="G160" s="7">
        <v>682135</v>
      </c>
      <c r="H160" s="7">
        <v>189558.12599999999</v>
      </c>
      <c r="I160" s="7">
        <v>2513224.129484803</v>
      </c>
      <c r="J160" s="7">
        <v>1708992.4080496661</v>
      </c>
    </row>
    <row r="161" spans="1:10" ht="27.6" outlineLevel="1" x14ac:dyDescent="0.3">
      <c r="A161" s="8">
        <v>159</v>
      </c>
      <c r="B161" s="9" t="s">
        <v>367</v>
      </c>
      <c r="C161" s="10" t="s">
        <v>103</v>
      </c>
      <c r="D161" s="9" t="s">
        <v>342</v>
      </c>
      <c r="E161" s="11">
        <v>0</v>
      </c>
      <c r="F161" s="7">
        <v>12994917.369999999</v>
      </c>
      <c r="G161" s="7">
        <v>4249070</v>
      </c>
      <c r="H161" s="7">
        <v>127076</v>
      </c>
      <c r="I161" s="7">
        <v>21781928.12367624</v>
      </c>
      <c r="J161" s="7">
        <v>0</v>
      </c>
    </row>
    <row r="162" spans="1:10" ht="27.6" outlineLevel="1" x14ac:dyDescent="0.3">
      <c r="A162" s="8">
        <v>160</v>
      </c>
      <c r="B162" s="9" t="s">
        <v>368</v>
      </c>
      <c r="C162" s="10" t="s">
        <v>104</v>
      </c>
      <c r="D162" s="9" t="s">
        <v>342</v>
      </c>
      <c r="E162" s="11">
        <v>0</v>
      </c>
      <c r="F162" s="7">
        <v>14450243.1</v>
      </c>
      <c r="G162" s="7">
        <v>2770610</v>
      </c>
      <c r="H162" s="7">
        <v>644798.32000000007</v>
      </c>
      <c r="I162" s="7">
        <v>22402102.094979256</v>
      </c>
      <c r="J162" s="7">
        <v>0</v>
      </c>
    </row>
    <row r="163" spans="1:10" ht="13.8" outlineLevel="1" x14ac:dyDescent="0.3">
      <c r="A163" s="8">
        <v>161</v>
      </c>
      <c r="B163" s="9" t="s">
        <v>360</v>
      </c>
      <c r="C163" s="10" t="s">
        <v>82</v>
      </c>
      <c r="D163" s="9" t="s">
        <v>345</v>
      </c>
      <c r="E163" s="11">
        <v>0</v>
      </c>
      <c r="F163" s="7">
        <v>2553370.7010000008</v>
      </c>
      <c r="G163" s="7">
        <v>9763195.9299999997</v>
      </c>
      <c r="H163" s="7">
        <v>716379.66</v>
      </c>
      <c r="I163" s="7">
        <v>16342275.271447293</v>
      </c>
      <c r="J163" s="7">
        <v>0</v>
      </c>
    </row>
    <row r="164" spans="1:10" ht="27.6" outlineLevel="1" x14ac:dyDescent="0.3">
      <c r="A164" s="8">
        <v>162</v>
      </c>
      <c r="B164" s="9" t="s">
        <v>356</v>
      </c>
      <c r="C164" s="10" t="s">
        <v>105</v>
      </c>
      <c r="D164" s="9" t="s">
        <v>325</v>
      </c>
      <c r="E164" s="11">
        <v>3.32</v>
      </c>
      <c r="F164" s="7">
        <v>1040075.41309225</v>
      </c>
      <c r="G164" s="7">
        <v>498830</v>
      </c>
      <c r="H164" s="7">
        <v>145495.43160000001</v>
      </c>
      <c r="I164" s="7">
        <v>2112104.3282767171</v>
      </c>
      <c r="J164" s="7">
        <v>7012186.3698787</v>
      </c>
    </row>
    <row r="165" spans="1:10" ht="27.6" outlineLevel="1" x14ac:dyDescent="0.3">
      <c r="A165" s="8">
        <v>163</v>
      </c>
      <c r="B165" s="9" t="s">
        <v>364</v>
      </c>
      <c r="C165" s="10" t="s">
        <v>106</v>
      </c>
      <c r="D165" s="9" t="s">
        <v>342</v>
      </c>
      <c r="E165" s="11">
        <v>0.34795999999999999</v>
      </c>
      <c r="F165" s="7">
        <v>12994917.369999999</v>
      </c>
      <c r="G165" s="7">
        <v>4624695</v>
      </c>
      <c r="H165" s="7">
        <v>127076</v>
      </c>
      <c r="I165" s="7">
        <v>22252931.91758249</v>
      </c>
      <c r="J165" s="7">
        <v>7743130.1900420031</v>
      </c>
    </row>
    <row r="166" spans="1:10" ht="27.6" outlineLevel="1" x14ac:dyDescent="0.3">
      <c r="A166" s="8">
        <v>164</v>
      </c>
      <c r="B166" s="9" t="s">
        <v>365</v>
      </c>
      <c r="C166" s="10" t="s">
        <v>107</v>
      </c>
      <c r="D166" s="9" t="s">
        <v>342</v>
      </c>
      <c r="E166" s="11">
        <v>5.3079999999999995E-2</v>
      </c>
      <c r="F166" s="7">
        <v>14447952.18</v>
      </c>
      <c r="G166" s="7">
        <v>2776620</v>
      </c>
      <c r="H166" s="7">
        <v>632156.326</v>
      </c>
      <c r="I166" s="7">
        <v>22390913.472425647</v>
      </c>
      <c r="J166" s="7">
        <v>1188509.6871163533</v>
      </c>
    </row>
    <row r="167" spans="1:10" ht="13.8" outlineLevel="1" x14ac:dyDescent="0.3">
      <c r="A167" s="8">
        <v>165</v>
      </c>
      <c r="B167" s="9" t="s">
        <v>363</v>
      </c>
      <c r="C167" s="10" t="s">
        <v>108</v>
      </c>
      <c r="D167" s="9" t="s">
        <v>345</v>
      </c>
      <c r="E167" s="11">
        <v>0.2656</v>
      </c>
      <c r="F167" s="7">
        <v>2174259.2235000003</v>
      </c>
      <c r="G167" s="7">
        <v>7502623</v>
      </c>
      <c r="H167" s="7">
        <v>716379.66</v>
      </c>
      <c r="I167" s="7">
        <v>13032321.539273791</v>
      </c>
      <c r="J167" s="7">
        <v>3461384.6008311189</v>
      </c>
    </row>
    <row r="168" spans="1:10" ht="41.4" outlineLevel="1" x14ac:dyDescent="0.3">
      <c r="A168" s="8">
        <v>166</v>
      </c>
      <c r="B168" s="9" t="s">
        <v>369</v>
      </c>
      <c r="C168" s="10" t="s">
        <v>109</v>
      </c>
      <c r="D168" s="9" t="s">
        <v>325</v>
      </c>
      <c r="E168" s="11">
        <v>434.94</v>
      </c>
      <c r="F168" s="7">
        <v>1040075.41309225</v>
      </c>
      <c r="G168" s="7">
        <v>159383.41999999998</v>
      </c>
      <c r="H168" s="7">
        <v>92608.176999999996</v>
      </c>
      <c r="I168" s="7">
        <v>1620148.9883116265</v>
      </c>
      <c r="J168" s="7">
        <v>704667600.97625887</v>
      </c>
    </row>
    <row r="169" spans="1:10" ht="27.6" outlineLevel="1" x14ac:dyDescent="0.3">
      <c r="A169" s="8">
        <v>167</v>
      </c>
      <c r="B169" s="9" t="s">
        <v>341</v>
      </c>
      <c r="C169" s="10" t="s">
        <v>110</v>
      </c>
      <c r="D169" s="9" t="s">
        <v>342</v>
      </c>
      <c r="E169" s="11">
        <v>0</v>
      </c>
      <c r="F169" s="7">
        <v>14446806.720000001</v>
      </c>
      <c r="G169" s="7">
        <v>2304835</v>
      </c>
      <c r="H169" s="7">
        <v>626069.44000000006</v>
      </c>
      <c r="I169" s="7">
        <v>21790263.92217499</v>
      </c>
      <c r="J169" s="7">
        <v>0</v>
      </c>
    </row>
    <row r="170" spans="1:10" ht="27.6" outlineLevel="1" x14ac:dyDescent="0.3">
      <c r="A170" s="8">
        <v>168</v>
      </c>
      <c r="B170" s="9" t="s">
        <v>343</v>
      </c>
      <c r="C170" s="10" t="s">
        <v>111</v>
      </c>
      <c r="D170" s="9" t="s">
        <v>342</v>
      </c>
      <c r="E170" s="11">
        <v>29.229380000000003</v>
      </c>
      <c r="F170" s="7">
        <v>14583066.65</v>
      </c>
      <c r="G170" s="7">
        <v>1679795</v>
      </c>
      <c r="H170" s="7">
        <v>645472.34000000008</v>
      </c>
      <c r="I170" s="7">
        <v>21201702.383824304</v>
      </c>
      <c r="J170" s="7">
        <v>619712615.62370646</v>
      </c>
    </row>
    <row r="171" spans="1:10" ht="13.8" outlineLevel="1" x14ac:dyDescent="0.3">
      <c r="A171" s="8">
        <v>169</v>
      </c>
      <c r="B171" s="9" t="s">
        <v>344</v>
      </c>
      <c r="C171" s="10" t="s">
        <v>50</v>
      </c>
      <c r="D171" s="9" t="s">
        <v>345</v>
      </c>
      <c r="E171" s="11">
        <v>4.3494000000000002</v>
      </c>
      <c r="F171" s="7">
        <v>1302754.74</v>
      </c>
      <c r="G171" s="7">
        <v>3995962.25</v>
      </c>
      <c r="H171" s="7">
        <v>391620.88079999998</v>
      </c>
      <c r="I171" s="7">
        <v>7135229.8855380043</v>
      </c>
      <c r="J171" s="7">
        <v>31033968.864158995</v>
      </c>
    </row>
    <row r="172" spans="1:10" ht="41.4" outlineLevel="1" x14ac:dyDescent="0.3">
      <c r="A172" s="8">
        <v>170</v>
      </c>
      <c r="B172" s="9" t="s">
        <v>350</v>
      </c>
      <c r="C172" s="10" t="s">
        <v>112</v>
      </c>
      <c r="D172" s="9" t="s">
        <v>325</v>
      </c>
      <c r="E172" s="11">
        <v>515.64</v>
      </c>
      <c r="F172" s="7">
        <v>1070968.7421939999</v>
      </c>
      <c r="G172" s="7">
        <v>444740</v>
      </c>
      <c r="H172" s="7">
        <v>145495.43160000001</v>
      </c>
      <c r="I172" s="7">
        <v>2083017.5529048159</v>
      </c>
      <c r="J172" s="7">
        <v>1074087170.9798393</v>
      </c>
    </row>
    <row r="173" spans="1:10" ht="27.6" outlineLevel="1" x14ac:dyDescent="0.3">
      <c r="A173" s="8">
        <v>171</v>
      </c>
      <c r="B173" s="9" t="s">
        <v>351</v>
      </c>
      <c r="C173" s="10" t="s">
        <v>56</v>
      </c>
      <c r="D173" s="9" t="s">
        <v>342</v>
      </c>
      <c r="E173" s="11">
        <v>7.4525800000000002</v>
      </c>
      <c r="F173" s="7">
        <v>14446806.720000001</v>
      </c>
      <c r="G173" s="7">
        <v>3089140</v>
      </c>
      <c r="H173" s="7">
        <v>626069.44000000006</v>
      </c>
      <c r="I173" s="7">
        <v>22773719.843851238</v>
      </c>
      <c r="J173" s="7">
        <v>169722969.03388888</v>
      </c>
    </row>
    <row r="174" spans="1:10" ht="27.6" outlineLevel="1" x14ac:dyDescent="0.3">
      <c r="A174" s="8">
        <v>172</v>
      </c>
      <c r="B174" s="9" t="s">
        <v>352</v>
      </c>
      <c r="C174" s="10" t="s">
        <v>57</v>
      </c>
      <c r="D174" s="9" t="s">
        <v>342</v>
      </c>
      <c r="E174" s="11">
        <v>30.466840000000001</v>
      </c>
      <c r="F174" s="7">
        <v>14583066.65</v>
      </c>
      <c r="G174" s="7">
        <v>2407005</v>
      </c>
      <c r="H174" s="7">
        <v>645472.34000000008</v>
      </c>
      <c r="I174" s="7">
        <v>22113565.728826795</v>
      </c>
      <c r="J174" s="7">
        <v>673730468.88964939</v>
      </c>
    </row>
    <row r="175" spans="1:10" ht="13.8" outlineLevel="1" x14ac:dyDescent="0.3">
      <c r="A175" s="8">
        <v>173</v>
      </c>
      <c r="B175" s="9" t="s">
        <v>349</v>
      </c>
      <c r="C175" s="10" t="s">
        <v>58</v>
      </c>
      <c r="D175" s="9" t="s">
        <v>345</v>
      </c>
      <c r="E175" s="11">
        <v>20.625599999999999</v>
      </c>
      <c r="F175" s="7">
        <v>2152725.4455000004</v>
      </c>
      <c r="G175" s="7">
        <v>9296728.5</v>
      </c>
      <c r="H175" s="7">
        <v>716379.66</v>
      </c>
      <c r="I175" s="7">
        <v>15254985.116066962</v>
      </c>
      <c r="J175" s="7">
        <v>314643221.0099507</v>
      </c>
    </row>
    <row r="176" spans="1:10" ht="27.6" outlineLevel="1" x14ac:dyDescent="0.3">
      <c r="A176" s="8">
        <v>174</v>
      </c>
      <c r="B176" s="9" t="s">
        <v>353</v>
      </c>
      <c r="C176" s="10" t="s">
        <v>113</v>
      </c>
      <c r="D176" s="9" t="s">
        <v>325</v>
      </c>
      <c r="E176" s="11">
        <v>28.37</v>
      </c>
      <c r="F176" s="7">
        <v>1040075.41309225</v>
      </c>
      <c r="G176" s="7">
        <v>622035</v>
      </c>
      <c r="H176" s="7">
        <v>144022.89636000001</v>
      </c>
      <c r="I176" s="7">
        <v>2264747.1309216931</v>
      </c>
      <c r="J176" s="7">
        <v>64250876.104248434</v>
      </c>
    </row>
    <row r="177" spans="1:10" ht="27.6" outlineLevel="1" x14ac:dyDescent="0.3">
      <c r="A177" s="8">
        <v>175</v>
      </c>
      <c r="B177" s="9" t="s">
        <v>361</v>
      </c>
      <c r="C177" s="10" t="s">
        <v>114</v>
      </c>
      <c r="D177" s="9" t="s">
        <v>342</v>
      </c>
      <c r="E177" s="11">
        <v>0</v>
      </c>
      <c r="F177" s="7">
        <v>12994917.369999999</v>
      </c>
      <c r="G177" s="7">
        <v>4729870</v>
      </c>
      <c r="H177" s="7">
        <v>191512.4154</v>
      </c>
      <c r="I177" s="7">
        <v>22465611.105983708</v>
      </c>
      <c r="J177" s="7">
        <v>0</v>
      </c>
    </row>
    <row r="178" spans="1:10" ht="27.6" outlineLevel="1" x14ac:dyDescent="0.3">
      <c r="A178" s="8">
        <v>176</v>
      </c>
      <c r="B178" s="9" t="s">
        <v>362</v>
      </c>
      <c r="C178" s="10" t="s">
        <v>52</v>
      </c>
      <c r="D178" s="9" t="s">
        <v>342</v>
      </c>
      <c r="E178" s="11">
        <v>0.48319999999999996</v>
      </c>
      <c r="F178" s="7">
        <v>14447952.18</v>
      </c>
      <c r="G178" s="7">
        <v>2878790</v>
      </c>
      <c r="H178" s="7">
        <v>694315.36884000001</v>
      </c>
      <c r="I178" s="7">
        <v>22596968.986905839</v>
      </c>
      <c r="J178" s="7">
        <v>10918855.4144729</v>
      </c>
    </row>
    <row r="179" spans="1:10" ht="27.6" outlineLevel="1" x14ac:dyDescent="0.3">
      <c r="A179" s="8">
        <v>177</v>
      </c>
      <c r="B179" s="9" t="s">
        <v>370</v>
      </c>
      <c r="C179" s="10" t="s">
        <v>53</v>
      </c>
      <c r="D179" s="9" t="s">
        <v>342</v>
      </c>
      <c r="E179" s="11">
        <v>15.46016</v>
      </c>
      <c r="F179" s="7">
        <v>14597193.99</v>
      </c>
      <c r="G179" s="7">
        <v>2425035</v>
      </c>
      <c r="H179" s="7">
        <v>792602.45459999994</v>
      </c>
      <c r="I179" s="7">
        <v>22338377.898720693</v>
      </c>
      <c r="J179" s="7">
        <v>345354896.45468569</v>
      </c>
    </row>
    <row r="180" spans="1:10" ht="13.8" outlineLevel="1" x14ac:dyDescent="0.3">
      <c r="A180" s="8">
        <v>178</v>
      </c>
      <c r="B180" s="9" t="s">
        <v>363</v>
      </c>
      <c r="C180" s="10" t="s">
        <v>54</v>
      </c>
      <c r="D180" s="9" t="s">
        <v>345</v>
      </c>
      <c r="E180" s="11">
        <v>2.2696000000000001</v>
      </c>
      <c r="F180" s="7">
        <v>2174259.2235000003</v>
      </c>
      <c r="G180" s="7">
        <v>7502623</v>
      </c>
      <c r="H180" s="7">
        <v>1211538.8232</v>
      </c>
      <c r="I180" s="7">
        <v>13653211.640983328</v>
      </c>
      <c r="J180" s="7">
        <v>30987329.140375763</v>
      </c>
    </row>
    <row r="181" spans="1:10" ht="27.6" outlineLevel="1" x14ac:dyDescent="0.3">
      <c r="A181" s="8">
        <v>179</v>
      </c>
      <c r="B181" s="9" t="s">
        <v>353</v>
      </c>
      <c r="C181" s="10" t="s">
        <v>115</v>
      </c>
      <c r="D181" s="9" t="s">
        <v>325</v>
      </c>
      <c r="E181" s="11">
        <v>10.57</v>
      </c>
      <c r="F181" s="7">
        <v>1040075.41309225</v>
      </c>
      <c r="G181" s="7">
        <v>622035</v>
      </c>
      <c r="H181" s="7">
        <v>144022.89636000001</v>
      </c>
      <c r="I181" s="7">
        <v>2264747.1309216931</v>
      </c>
      <c r="J181" s="7">
        <v>23938377.173842296</v>
      </c>
    </row>
    <row r="182" spans="1:10" ht="27.6" outlineLevel="1" x14ac:dyDescent="0.3">
      <c r="A182" s="8">
        <v>180</v>
      </c>
      <c r="B182" s="9" t="s">
        <v>361</v>
      </c>
      <c r="C182" s="10" t="s">
        <v>114</v>
      </c>
      <c r="D182" s="9" t="s">
        <v>342</v>
      </c>
      <c r="E182" s="11">
        <v>0.17836000000000002</v>
      </c>
      <c r="F182" s="7">
        <v>12994917.369999999</v>
      </c>
      <c r="G182" s="7">
        <v>4729870</v>
      </c>
      <c r="H182" s="7">
        <v>191512.4154</v>
      </c>
      <c r="I182" s="7">
        <v>22465611.105983708</v>
      </c>
      <c r="J182" s="7">
        <v>4006966.3968632547</v>
      </c>
    </row>
    <row r="183" spans="1:10" ht="27.6" outlineLevel="1" x14ac:dyDescent="0.3">
      <c r="A183" s="8">
        <v>181</v>
      </c>
      <c r="B183" s="9" t="s">
        <v>362</v>
      </c>
      <c r="C183" s="10" t="s">
        <v>52</v>
      </c>
      <c r="D183" s="9" t="s">
        <v>342</v>
      </c>
      <c r="E183" s="11">
        <v>1.3209600000000001</v>
      </c>
      <c r="F183" s="7">
        <v>14447952.18</v>
      </c>
      <c r="G183" s="7">
        <v>2878790</v>
      </c>
      <c r="H183" s="7">
        <v>694315.36884000001</v>
      </c>
      <c r="I183" s="7">
        <v>22596968.986905839</v>
      </c>
      <c r="J183" s="7">
        <v>29849692.152943142</v>
      </c>
    </row>
    <row r="184" spans="1:10" ht="27.6" outlineLevel="1" x14ac:dyDescent="0.3">
      <c r="A184" s="8">
        <v>182</v>
      </c>
      <c r="B184" s="9" t="s">
        <v>370</v>
      </c>
      <c r="C184" s="10" t="s">
        <v>53</v>
      </c>
      <c r="D184" s="9" t="s">
        <v>342</v>
      </c>
      <c r="E184" s="11">
        <v>0.69334000000000007</v>
      </c>
      <c r="F184" s="7">
        <v>14597193.99</v>
      </c>
      <c r="G184" s="7">
        <v>2425035</v>
      </c>
      <c r="H184" s="7">
        <v>792602.45459999994</v>
      </c>
      <c r="I184" s="7">
        <v>22338377.898720693</v>
      </c>
      <c r="J184" s="7">
        <v>15488090.932299007</v>
      </c>
    </row>
    <row r="185" spans="1:10" ht="13.8" outlineLevel="1" x14ac:dyDescent="0.3">
      <c r="A185" s="8">
        <v>183</v>
      </c>
      <c r="B185" s="9" t="s">
        <v>363</v>
      </c>
      <c r="C185" s="10" t="s">
        <v>54</v>
      </c>
      <c r="D185" s="9" t="s">
        <v>345</v>
      </c>
      <c r="E185" s="11">
        <v>0.84560000000000002</v>
      </c>
      <c r="F185" s="7">
        <v>2174259.2235000003</v>
      </c>
      <c r="G185" s="7">
        <v>7502623</v>
      </c>
      <c r="H185" s="7">
        <v>1211538.8232</v>
      </c>
      <c r="I185" s="7">
        <v>13653211.640983328</v>
      </c>
      <c r="J185" s="7">
        <v>11545155.763615502</v>
      </c>
    </row>
    <row r="186" spans="1:10" ht="27.6" outlineLevel="1" x14ac:dyDescent="0.3">
      <c r="A186" s="8">
        <v>184</v>
      </c>
      <c r="B186" s="9" t="s">
        <v>353</v>
      </c>
      <c r="C186" s="10" t="s">
        <v>116</v>
      </c>
      <c r="D186" s="9" t="s">
        <v>325</v>
      </c>
      <c r="E186" s="11">
        <v>16.34</v>
      </c>
      <c r="F186" s="7">
        <v>1040075.41309225</v>
      </c>
      <c r="G186" s="7">
        <v>622035</v>
      </c>
      <c r="H186" s="7">
        <v>144022.89636000001</v>
      </c>
      <c r="I186" s="7">
        <v>2264747.1309216931</v>
      </c>
      <c r="J186" s="7">
        <v>37005968.119260468</v>
      </c>
    </row>
    <row r="187" spans="1:10" ht="27.6" outlineLevel="1" x14ac:dyDescent="0.3">
      <c r="A187" s="8">
        <v>185</v>
      </c>
      <c r="B187" s="9" t="s">
        <v>361</v>
      </c>
      <c r="C187" s="10" t="s">
        <v>114</v>
      </c>
      <c r="D187" s="9" t="s">
        <v>342</v>
      </c>
      <c r="E187" s="11">
        <v>0.75599000000000005</v>
      </c>
      <c r="F187" s="7">
        <v>12994917.369999999</v>
      </c>
      <c r="G187" s="7">
        <v>4729870</v>
      </c>
      <c r="H187" s="7">
        <v>191512.4154</v>
      </c>
      <c r="I187" s="7">
        <v>22465611.105983708</v>
      </c>
      <c r="J187" s="7">
        <v>16983777.340012625</v>
      </c>
    </row>
    <row r="188" spans="1:10" ht="27.6" outlineLevel="1" x14ac:dyDescent="0.3">
      <c r="A188" s="8">
        <v>186</v>
      </c>
      <c r="B188" s="9" t="s">
        <v>362</v>
      </c>
      <c r="C188" s="10" t="s">
        <v>52</v>
      </c>
      <c r="D188" s="9" t="s">
        <v>342</v>
      </c>
      <c r="E188" s="11">
        <v>1.3236700000000001</v>
      </c>
      <c r="F188" s="7">
        <v>14447952.18</v>
      </c>
      <c r="G188" s="7">
        <v>2878790</v>
      </c>
      <c r="H188" s="7">
        <v>694315.36884000001</v>
      </c>
      <c r="I188" s="7">
        <v>22596968.986905839</v>
      </c>
      <c r="J188" s="7">
        <v>29910929.938897654</v>
      </c>
    </row>
    <row r="189" spans="1:10" ht="27.6" outlineLevel="1" x14ac:dyDescent="0.3">
      <c r="A189" s="8">
        <v>187</v>
      </c>
      <c r="B189" s="9" t="s">
        <v>370</v>
      </c>
      <c r="C189" s="10" t="s">
        <v>53</v>
      </c>
      <c r="D189" s="9" t="s">
        <v>342</v>
      </c>
      <c r="E189" s="11">
        <v>1.5234799999999999</v>
      </c>
      <c r="F189" s="7">
        <v>14597193.99</v>
      </c>
      <c r="G189" s="7">
        <v>2425035</v>
      </c>
      <c r="H189" s="7">
        <v>792602.45459999994</v>
      </c>
      <c r="I189" s="7">
        <v>22338377.898720693</v>
      </c>
      <c r="J189" s="7">
        <v>34032071.961143002</v>
      </c>
    </row>
    <row r="190" spans="1:10" ht="13.8" outlineLevel="1" x14ac:dyDescent="0.3">
      <c r="A190" s="8">
        <v>188</v>
      </c>
      <c r="B190" s="9" t="s">
        <v>363</v>
      </c>
      <c r="C190" s="10" t="s">
        <v>54</v>
      </c>
      <c r="D190" s="9" t="s">
        <v>345</v>
      </c>
      <c r="E190" s="11">
        <v>1.3071999999999999</v>
      </c>
      <c r="F190" s="7">
        <v>2174259.2235000003</v>
      </c>
      <c r="G190" s="7">
        <v>7502623</v>
      </c>
      <c r="H190" s="7">
        <v>1211538.8232</v>
      </c>
      <c r="I190" s="7">
        <v>13653211.640983328</v>
      </c>
      <c r="J190" s="7">
        <v>17847478.257093407</v>
      </c>
    </row>
    <row r="191" spans="1:10" ht="27.6" outlineLevel="1" x14ac:dyDescent="0.3">
      <c r="A191" s="8">
        <v>189</v>
      </c>
      <c r="B191" s="9" t="s">
        <v>371</v>
      </c>
      <c r="C191" s="10" t="s">
        <v>117</v>
      </c>
      <c r="D191" s="9" t="s">
        <v>325</v>
      </c>
      <c r="E191" s="11">
        <v>16.34</v>
      </c>
      <c r="F191" s="7">
        <v>1013424.416002425</v>
      </c>
      <c r="G191" s="7">
        <v>318217.24199999997</v>
      </c>
      <c r="H191" s="7">
        <v>0</v>
      </c>
      <c r="I191" s="7">
        <v>1669772.4407128149</v>
      </c>
      <c r="J191" s="7">
        <v>27284081.681247395</v>
      </c>
    </row>
    <row r="192" spans="1:10" ht="13.8" outlineLevel="1" x14ac:dyDescent="0.3">
      <c r="A192" s="8">
        <v>190</v>
      </c>
      <c r="B192" s="9" t="s">
        <v>372</v>
      </c>
      <c r="C192" s="10" t="s">
        <v>118</v>
      </c>
      <c r="D192" s="9" t="s">
        <v>342</v>
      </c>
      <c r="E192" s="11">
        <v>0.44154000000000004</v>
      </c>
      <c r="F192" s="7">
        <v>14369532.369999999</v>
      </c>
      <c r="G192" s="7">
        <v>4883125</v>
      </c>
      <c r="H192" s="7">
        <v>127076</v>
      </c>
      <c r="I192" s="7">
        <v>24300640.112243734</v>
      </c>
      <c r="J192" s="7">
        <v>10729704.6351601</v>
      </c>
    </row>
    <row r="193" spans="1:10" ht="13.8" outlineLevel="1" x14ac:dyDescent="0.3">
      <c r="A193" s="8">
        <v>191</v>
      </c>
      <c r="B193" s="9" t="s">
        <v>373</v>
      </c>
      <c r="C193" s="10" t="s">
        <v>119</v>
      </c>
      <c r="D193" s="9" t="s">
        <v>345</v>
      </c>
      <c r="E193" s="11">
        <v>0.32679999999999998</v>
      </c>
      <c r="F193" s="7">
        <v>533314.74</v>
      </c>
      <c r="G193" s="7">
        <v>10360143.76</v>
      </c>
      <c r="H193" s="7">
        <v>260565.54300000001</v>
      </c>
      <c r="I193" s="7">
        <v>13986256.61650457</v>
      </c>
      <c r="J193" s="7">
        <v>4570708.6622736929</v>
      </c>
    </row>
    <row r="194" spans="1:10" ht="27.6" outlineLevel="1" x14ac:dyDescent="0.3">
      <c r="A194" s="8">
        <v>192</v>
      </c>
      <c r="B194" s="9" t="s">
        <v>374</v>
      </c>
      <c r="C194" s="10" t="s">
        <v>120</v>
      </c>
      <c r="D194" s="9" t="s">
        <v>375</v>
      </c>
      <c r="E194" s="11">
        <v>30</v>
      </c>
      <c r="F194" s="7">
        <v>0</v>
      </c>
      <c r="G194" s="7">
        <v>8243.9699999999993</v>
      </c>
      <c r="H194" s="7">
        <v>25867.364999999998</v>
      </c>
      <c r="I194" s="7">
        <v>42772.89371103375</v>
      </c>
      <c r="J194" s="7">
        <v>1283186.8113310125</v>
      </c>
    </row>
    <row r="195" spans="1:10" ht="27.6" outlineLevel="1" x14ac:dyDescent="0.3">
      <c r="A195" s="8">
        <v>193</v>
      </c>
      <c r="B195" s="9" t="s">
        <v>376</v>
      </c>
      <c r="C195" s="10" t="s">
        <v>121</v>
      </c>
      <c r="D195" s="9" t="s">
        <v>325</v>
      </c>
      <c r="E195" s="11">
        <v>34.18</v>
      </c>
      <c r="F195" s="7">
        <v>1099929.1496452501</v>
      </c>
      <c r="G195" s="7">
        <v>622035</v>
      </c>
      <c r="H195" s="7">
        <v>144022.89636000001</v>
      </c>
      <c r="I195" s="7">
        <v>2339798.9432236645</v>
      </c>
      <c r="J195" s="7">
        <v>79974327.87938486</v>
      </c>
    </row>
    <row r="196" spans="1:10" ht="27.6" outlineLevel="1" x14ac:dyDescent="0.3">
      <c r="A196" s="8">
        <v>194</v>
      </c>
      <c r="B196" s="9" t="s">
        <v>361</v>
      </c>
      <c r="C196" s="10" t="s">
        <v>114</v>
      </c>
      <c r="D196" s="9" t="s">
        <v>342</v>
      </c>
      <c r="E196" s="11">
        <v>1.5219800000000001</v>
      </c>
      <c r="F196" s="7">
        <v>12994917.369999999</v>
      </c>
      <c r="G196" s="7">
        <v>4729870</v>
      </c>
      <c r="H196" s="7">
        <v>191512.4154</v>
      </c>
      <c r="I196" s="7">
        <v>22465611.105983708</v>
      </c>
      <c r="J196" s="7">
        <v>34192210.791085087</v>
      </c>
    </row>
    <row r="197" spans="1:10" ht="27.6" outlineLevel="1" x14ac:dyDescent="0.3">
      <c r="A197" s="8">
        <v>195</v>
      </c>
      <c r="B197" s="9" t="s">
        <v>362</v>
      </c>
      <c r="C197" s="10" t="s">
        <v>52</v>
      </c>
      <c r="D197" s="9" t="s">
        <v>342</v>
      </c>
      <c r="E197" s="11">
        <v>0.61726999999999999</v>
      </c>
      <c r="F197" s="7">
        <v>14447952.18</v>
      </c>
      <c r="G197" s="7">
        <v>2878790</v>
      </c>
      <c r="H197" s="7">
        <v>694315.36884000001</v>
      </c>
      <c r="I197" s="7">
        <v>22596968.986905839</v>
      </c>
      <c r="J197" s="7">
        <v>13948431.046547366</v>
      </c>
    </row>
    <row r="198" spans="1:10" ht="27.6" outlineLevel="1" x14ac:dyDescent="0.3">
      <c r="A198" s="8">
        <v>196</v>
      </c>
      <c r="B198" s="9" t="s">
        <v>370</v>
      </c>
      <c r="C198" s="10" t="s">
        <v>53</v>
      </c>
      <c r="D198" s="9" t="s">
        <v>342</v>
      </c>
      <c r="E198" s="11">
        <v>4.4247500000000004</v>
      </c>
      <c r="F198" s="7">
        <v>14597193.99</v>
      </c>
      <c r="G198" s="7">
        <v>2425035</v>
      </c>
      <c r="H198" s="7">
        <v>792602.45459999994</v>
      </c>
      <c r="I198" s="7">
        <v>22338377.898720693</v>
      </c>
      <c r="J198" s="7">
        <v>98841737.607364401</v>
      </c>
    </row>
    <row r="199" spans="1:10" ht="13.8" outlineLevel="1" x14ac:dyDescent="0.3">
      <c r="A199" s="8">
        <v>197</v>
      </c>
      <c r="B199" s="9" t="s">
        <v>363</v>
      </c>
      <c r="C199" s="10" t="s">
        <v>54</v>
      </c>
      <c r="D199" s="9" t="s">
        <v>345</v>
      </c>
      <c r="E199" s="11">
        <v>2.7343999999999999</v>
      </c>
      <c r="F199" s="7">
        <v>2174259.2235000003</v>
      </c>
      <c r="G199" s="7">
        <v>7502623</v>
      </c>
      <c r="H199" s="7">
        <v>1211538.8232</v>
      </c>
      <c r="I199" s="7">
        <v>13653211.640983328</v>
      </c>
      <c r="J199" s="7">
        <v>37333341.911104813</v>
      </c>
    </row>
    <row r="200" spans="1:10" ht="27.6" outlineLevel="1" x14ac:dyDescent="0.3">
      <c r="A200" s="8">
        <v>198</v>
      </c>
      <c r="B200" s="9" t="s">
        <v>376</v>
      </c>
      <c r="C200" s="10" t="s">
        <v>122</v>
      </c>
      <c r="D200" s="9" t="s">
        <v>325</v>
      </c>
      <c r="E200" s="11">
        <v>12.84</v>
      </c>
      <c r="F200" s="7">
        <v>1099929.1496452501</v>
      </c>
      <c r="G200" s="7">
        <v>622035</v>
      </c>
      <c r="H200" s="7">
        <v>144022.89636000001</v>
      </c>
      <c r="I200" s="7">
        <v>2339798.9432236645</v>
      </c>
      <c r="J200" s="7">
        <v>30043018.430991851</v>
      </c>
    </row>
    <row r="201" spans="1:10" ht="27.6" outlineLevel="1" x14ac:dyDescent="0.3">
      <c r="A201" s="8">
        <v>199</v>
      </c>
      <c r="B201" s="9" t="s">
        <v>361</v>
      </c>
      <c r="C201" s="10" t="s">
        <v>114</v>
      </c>
      <c r="D201" s="9" t="s">
        <v>342</v>
      </c>
      <c r="E201" s="11">
        <v>0.29446</v>
      </c>
      <c r="F201" s="7">
        <v>12994917.369999999</v>
      </c>
      <c r="G201" s="7">
        <v>4729870</v>
      </c>
      <c r="H201" s="7">
        <v>191512.4154</v>
      </c>
      <c r="I201" s="7">
        <v>22465611.105983708</v>
      </c>
      <c r="J201" s="7">
        <v>6615223.8462679628</v>
      </c>
    </row>
    <row r="202" spans="1:10" ht="27.6" outlineLevel="1" x14ac:dyDescent="0.3">
      <c r="A202" s="8">
        <v>200</v>
      </c>
      <c r="B202" s="9" t="s">
        <v>362</v>
      </c>
      <c r="C202" s="10" t="s">
        <v>52</v>
      </c>
      <c r="D202" s="9" t="s">
        <v>342</v>
      </c>
      <c r="E202" s="11">
        <v>0.40211999999999998</v>
      </c>
      <c r="F202" s="7">
        <v>14447952.18</v>
      </c>
      <c r="G202" s="7">
        <v>2878790</v>
      </c>
      <c r="H202" s="7">
        <v>694315.36884000001</v>
      </c>
      <c r="I202" s="7">
        <v>22596968.986905839</v>
      </c>
      <c r="J202" s="7">
        <v>9086693.169014575</v>
      </c>
    </row>
    <row r="203" spans="1:10" ht="27.6" outlineLevel="1" x14ac:dyDescent="0.3">
      <c r="A203" s="8">
        <v>201</v>
      </c>
      <c r="B203" s="9" t="s">
        <v>370</v>
      </c>
      <c r="C203" s="10" t="s">
        <v>53</v>
      </c>
      <c r="D203" s="9" t="s">
        <v>342</v>
      </c>
      <c r="E203" s="11">
        <v>1.1631899999999999</v>
      </c>
      <c r="F203" s="7">
        <v>14597193.99</v>
      </c>
      <c r="G203" s="7">
        <v>2425035</v>
      </c>
      <c r="H203" s="7">
        <v>792602.45459999994</v>
      </c>
      <c r="I203" s="7">
        <v>22338377.898720693</v>
      </c>
      <c r="J203" s="7">
        <v>25983777.788012922</v>
      </c>
    </row>
    <row r="204" spans="1:10" ht="13.8" outlineLevel="1" x14ac:dyDescent="0.3">
      <c r="A204" s="8">
        <v>202</v>
      </c>
      <c r="B204" s="9" t="s">
        <v>363</v>
      </c>
      <c r="C204" s="10" t="s">
        <v>54</v>
      </c>
      <c r="D204" s="9" t="s">
        <v>345</v>
      </c>
      <c r="E204" s="11">
        <v>1.0271999999999999</v>
      </c>
      <c r="F204" s="7">
        <v>2174259.2235000003</v>
      </c>
      <c r="G204" s="7">
        <v>7502623</v>
      </c>
      <c r="H204" s="7">
        <v>1211538.8232</v>
      </c>
      <c r="I204" s="7">
        <v>13653211.640983328</v>
      </c>
      <c r="J204" s="7">
        <v>14024578.997618074</v>
      </c>
    </row>
    <row r="205" spans="1:10" ht="27.6" outlineLevel="1" x14ac:dyDescent="0.3">
      <c r="A205" s="8">
        <v>203</v>
      </c>
      <c r="B205" s="9" t="s">
        <v>376</v>
      </c>
      <c r="C205" s="10" t="s">
        <v>123</v>
      </c>
      <c r="D205" s="9" t="s">
        <v>325</v>
      </c>
      <c r="E205" s="11">
        <v>15.43</v>
      </c>
      <c r="F205" s="7">
        <v>1099929.1496452501</v>
      </c>
      <c r="G205" s="7">
        <v>622035</v>
      </c>
      <c r="H205" s="7">
        <v>144022.89636000001</v>
      </c>
      <c r="I205" s="7">
        <v>2339798.9432236645</v>
      </c>
      <c r="J205" s="7">
        <v>36103097.693941146</v>
      </c>
    </row>
    <row r="206" spans="1:10" ht="13.8" outlineLevel="1" x14ac:dyDescent="0.3">
      <c r="A206" s="8">
        <v>204</v>
      </c>
      <c r="B206" s="9" t="s">
        <v>354</v>
      </c>
      <c r="C206" s="10" t="s">
        <v>124</v>
      </c>
      <c r="D206" s="9" t="s">
        <v>342</v>
      </c>
      <c r="E206" s="11">
        <v>2.6802600000000001</v>
      </c>
      <c r="F206" s="7">
        <v>14446367.627</v>
      </c>
      <c r="G206" s="7">
        <v>3017019.9999999995</v>
      </c>
      <c r="H206" s="7">
        <v>701918.48352000001</v>
      </c>
      <c r="I206" s="7">
        <v>22777845.179429766</v>
      </c>
      <c r="J206" s="7">
        <v>61050547.320618428</v>
      </c>
    </row>
    <row r="207" spans="1:10" ht="13.8" outlineLevel="1" x14ac:dyDescent="0.3">
      <c r="A207" s="8">
        <v>205</v>
      </c>
      <c r="B207" s="9" t="s">
        <v>355</v>
      </c>
      <c r="C207" s="10" t="s">
        <v>98</v>
      </c>
      <c r="D207" s="9" t="s">
        <v>345</v>
      </c>
      <c r="E207" s="11">
        <v>1.2343999999999999</v>
      </c>
      <c r="F207" s="7">
        <v>2001758.4615000002</v>
      </c>
      <c r="G207" s="7">
        <v>6524020</v>
      </c>
      <c r="H207" s="7">
        <v>1211538.8232</v>
      </c>
      <c r="I207" s="7">
        <v>12209819.323960345</v>
      </c>
      <c r="J207" s="7">
        <v>15071800.973496649</v>
      </c>
    </row>
    <row r="208" spans="1:10" ht="27.6" outlineLevel="1" x14ac:dyDescent="0.3">
      <c r="A208" s="8">
        <v>206</v>
      </c>
      <c r="B208" s="9" t="s">
        <v>376</v>
      </c>
      <c r="C208" s="10" t="s">
        <v>125</v>
      </c>
      <c r="D208" s="9" t="s">
        <v>325</v>
      </c>
      <c r="E208" s="11">
        <v>27.35</v>
      </c>
      <c r="F208" s="7">
        <v>1099929.1496452501</v>
      </c>
      <c r="G208" s="7">
        <v>622035</v>
      </c>
      <c r="H208" s="7">
        <v>144022.89636000001</v>
      </c>
      <c r="I208" s="7">
        <v>2339798.9432236645</v>
      </c>
      <c r="J208" s="7">
        <v>63993501.097167231</v>
      </c>
    </row>
    <row r="209" spans="1:10" ht="27.6" outlineLevel="1" x14ac:dyDescent="0.3">
      <c r="A209" s="8">
        <v>207</v>
      </c>
      <c r="B209" s="9" t="s">
        <v>362</v>
      </c>
      <c r="C209" s="10" t="s">
        <v>52</v>
      </c>
      <c r="D209" s="9" t="s">
        <v>342</v>
      </c>
      <c r="E209" s="11">
        <v>2.1847699999999999</v>
      </c>
      <c r="F209" s="7">
        <v>14447952.18</v>
      </c>
      <c r="G209" s="7">
        <v>2878790</v>
      </c>
      <c r="H209" s="7">
        <v>694315.36884000001</v>
      </c>
      <c r="I209" s="7">
        <v>22596968.986905839</v>
      </c>
      <c r="J209" s="7">
        <v>49369179.933522269</v>
      </c>
    </row>
    <row r="210" spans="1:10" ht="27.6" outlineLevel="1" x14ac:dyDescent="0.3">
      <c r="A210" s="8">
        <v>208</v>
      </c>
      <c r="B210" s="9" t="s">
        <v>370</v>
      </c>
      <c r="C210" s="10" t="s">
        <v>53</v>
      </c>
      <c r="D210" s="9" t="s">
        <v>342</v>
      </c>
      <c r="E210" s="11">
        <v>0</v>
      </c>
      <c r="F210" s="7">
        <v>14597193.99</v>
      </c>
      <c r="G210" s="7">
        <v>2425035</v>
      </c>
      <c r="H210" s="7">
        <v>792602.45459999994</v>
      </c>
      <c r="I210" s="7">
        <v>22338377.898720693</v>
      </c>
      <c r="J210" s="7">
        <v>0</v>
      </c>
    </row>
    <row r="211" spans="1:10" ht="13.8" outlineLevel="1" x14ac:dyDescent="0.3">
      <c r="A211" s="8">
        <v>209</v>
      </c>
      <c r="B211" s="9" t="s">
        <v>363</v>
      </c>
      <c r="C211" s="10" t="s">
        <v>54</v>
      </c>
      <c r="D211" s="9" t="s">
        <v>345</v>
      </c>
      <c r="E211" s="11">
        <v>1.0940000000000001</v>
      </c>
      <c r="F211" s="7">
        <v>2174259.2235000003</v>
      </c>
      <c r="G211" s="7">
        <v>7502623</v>
      </c>
      <c r="H211" s="7">
        <v>1211538.8232</v>
      </c>
      <c r="I211" s="7">
        <v>13653211.640983328</v>
      </c>
      <c r="J211" s="7">
        <v>14936613.535235763</v>
      </c>
    </row>
    <row r="212" spans="1:10" ht="13.8" outlineLevel="1" x14ac:dyDescent="0.3">
      <c r="A212" s="8">
        <v>210</v>
      </c>
      <c r="B212" s="9" t="s">
        <v>377</v>
      </c>
      <c r="C212" s="10" t="s">
        <v>126</v>
      </c>
      <c r="D212" s="9" t="s">
        <v>342</v>
      </c>
      <c r="E212" s="11">
        <v>0.71035000000000004</v>
      </c>
      <c r="F212" s="7">
        <v>14761980.6</v>
      </c>
      <c r="G212" s="7">
        <v>8389960</v>
      </c>
      <c r="H212" s="7">
        <v>106743.84</v>
      </c>
      <c r="I212" s="7">
        <v>29164535.407675914</v>
      </c>
      <c r="J212" s="7">
        <v>20717027.726842586</v>
      </c>
    </row>
    <row r="213" spans="1:10" ht="13.8" outlineLevel="1" x14ac:dyDescent="0.3">
      <c r="A213" s="8">
        <v>211</v>
      </c>
      <c r="B213" s="9" t="s">
        <v>378</v>
      </c>
      <c r="C213" s="10" t="s">
        <v>127</v>
      </c>
      <c r="D213" s="9" t="s">
        <v>342</v>
      </c>
      <c r="E213" s="11">
        <v>0.72780999999999996</v>
      </c>
      <c r="F213" s="7">
        <v>14969700.119999999</v>
      </c>
      <c r="G213" s="7">
        <v>6762146.7300000004</v>
      </c>
      <c r="H213" s="7">
        <v>3004056.8000000003</v>
      </c>
      <c r="I213" s="7">
        <v>31016850.488783915</v>
      </c>
      <c r="J213" s="7">
        <v>22574373.95424182</v>
      </c>
    </row>
    <row r="214" spans="1:10" ht="13.8" outlineLevel="1" x14ac:dyDescent="0.3">
      <c r="A214" s="8">
        <v>212</v>
      </c>
      <c r="B214" s="9" t="s">
        <v>379</v>
      </c>
      <c r="C214" s="10" t="s">
        <v>128</v>
      </c>
      <c r="D214" s="9" t="s">
        <v>342</v>
      </c>
      <c r="E214" s="11">
        <v>0.72780999999999996</v>
      </c>
      <c r="F214" s="7">
        <v>847447.3175</v>
      </c>
      <c r="G214" s="7">
        <v>4697294.4000000004</v>
      </c>
      <c r="H214" s="7">
        <v>2085518.9828000001</v>
      </c>
      <c r="I214" s="7">
        <v>9567738.4048853517</v>
      </c>
      <c r="J214" s="7">
        <v>6963495.6884596078</v>
      </c>
    </row>
    <row r="215" spans="1:10" ht="27.6" outlineLevel="1" x14ac:dyDescent="0.3">
      <c r="A215" s="8">
        <v>213</v>
      </c>
      <c r="B215" s="9" t="s">
        <v>380</v>
      </c>
      <c r="C215" s="10" t="s">
        <v>129</v>
      </c>
      <c r="D215" s="9" t="s">
        <v>325</v>
      </c>
      <c r="E215" s="11">
        <v>84.37</v>
      </c>
      <c r="F215" s="7">
        <v>1038683.6526044999</v>
      </c>
      <c r="G215" s="7">
        <v>567945</v>
      </c>
      <c r="H215" s="7">
        <v>0</v>
      </c>
      <c r="I215" s="7">
        <v>2014584.2017309975</v>
      </c>
      <c r="J215" s="7">
        <v>169970469.10004428</v>
      </c>
    </row>
    <row r="216" spans="1:10" ht="27.6" outlineLevel="1" x14ac:dyDescent="0.3">
      <c r="A216" s="8">
        <v>214</v>
      </c>
      <c r="B216" s="9" t="s">
        <v>381</v>
      </c>
      <c r="C216" s="10" t="s">
        <v>130</v>
      </c>
      <c r="D216" s="9" t="s">
        <v>342</v>
      </c>
      <c r="E216" s="11">
        <v>4.5804200000000002</v>
      </c>
      <c r="F216" s="7">
        <v>12994917.369999999</v>
      </c>
      <c r="G216" s="7">
        <v>3230375</v>
      </c>
      <c r="H216" s="7">
        <v>127076</v>
      </c>
      <c r="I216" s="7">
        <v>20504565.83460249</v>
      </c>
      <c r="J216" s="7">
        <v>93919523.440129936</v>
      </c>
    </row>
    <row r="217" spans="1:10" ht="13.8" outlineLevel="1" x14ac:dyDescent="0.3">
      <c r="A217" s="8">
        <v>215</v>
      </c>
      <c r="B217" s="9" t="s">
        <v>344</v>
      </c>
      <c r="C217" s="10" t="s">
        <v>131</v>
      </c>
      <c r="D217" s="9" t="s">
        <v>345</v>
      </c>
      <c r="E217" s="11">
        <v>1.6874</v>
      </c>
      <c r="F217" s="7">
        <v>1302754.74</v>
      </c>
      <c r="G217" s="7">
        <v>3995962.25</v>
      </c>
      <c r="H217" s="7">
        <v>391620.88079999998</v>
      </c>
      <c r="I217" s="7">
        <v>7135229.8855380043</v>
      </c>
      <c r="J217" s="7">
        <v>12039986.908856828</v>
      </c>
    </row>
    <row r="218" spans="1:10" ht="13.8" outlineLevel="1" x14ac:dyDescent="0.3">
      <c r="A218" s="8">
        <v>216</v>
      </c>
      <c r="B218" s="9" t="s">
        <v>382</v>
      </c>
      <c r="C218" s="10" t="s">
        <v>132</v>
      </c>
      <c r="D218" s="9" t="s">
        <v>342</v>
      </c>
      <c r="E218" s="11">
        <v>18.727150000000002</v>
      </c>
      <c r="F218" s="7">
        <v>14982316.025700001</v>
      </c>
      <c r="G218" s="7">
        <v>5059377.51</v>
      </c>
      <c r="H218" s="7">
        <v>1765223.1469000001</v>
      </c>
      <c r="I218" s="7">
        <v>27344134.418374963</v>
      </c>
      <c r="J218" s="7">
        <v>512077706.87307072</v>
      </c>
    </row>
    <row r="219" spans="1:10" ht="13.8" outlineLevel="1" x14ac:dyDescent="0.3">
      <c r="A219" s="8">
        <v>217</v>
      </c>
      <c r="B219" s="9" t="s">
        <v>383</v>
      </c>
      <c r="C219" s="10" t="s">
        <v>133</v>
      </c>
      <c r="D219" s="9" t="s">
        <v>384</v>
      </c>
      <c r="E219" s="11">
        <v>549.96</v>
      </c>
      <c r="F219" s="7">
        <v>6659.1598384499994</v>
      </c>
      <c r="G219" s="7">
        <v>130480.40000000001</v>
      </c>
      <c r="H219" s="7">
        <v>32775.54</v>
      </c>
      <c r="I219" s="7">
        <v>213059.9844682042</v>
      </c>
      <c r="J219" s="7">
        <v>117174469.05813359</v>
      </c>
    </row>
    <row r="220" spans="1:10" ht="13.8" outlineLevel="1" x14ac:dyDescent="0.3">
      <c r="A220" s="8">
        <v>218</v>
      </c>
      <c r="B220" s="9" t="s">
        <v>385</v>
      </c>
      <c r="C220" s="10" t="s">
        <v>134</v>
      </c>
      <c r="D220" s="9" t="s">
        <v>386</v>
      </c>
      <c r="E220" s="11">
        <v>54</v>
      </c>
      <c r="F220" s="7">
        <v>250000</v>
      </c>
      <c r="G220" s="7">
        <v>0</v>
      </c>
      <c r="H220" s="7">
        <v>0</v>
      </c>
      <c r="I220" s="7">
        <v>313480.0625</v>
      </c>
      <c r="J220" s="7">
        <v>16927923.375</v>
      </c>
    </row>
    <row r="221" spans="1:10" ht="13.8" outlineLevel="1" x14ac:dyDescent="0.3">
      <c r="A221" s="8">
        <v>219</v>
      </c>
      <c r="B221" s="9" t="s">
        <v>385</v>
      </c>
      <c r="C221" s="10" t="s">
        <v>135</v>
      </c>
      <c r="D221" s="9" t="s">
        <v>387</v>
      </c>
      <c r="E221" s="11">
        <v>54</v>
      </c>
      <c r="F221" s="7">
        <v>20000</v>
      </c>
      <c r="G221" s="7">
        <v>0</v>
      </c>
      <c r="H221" s="7">
        <v>0</v>
      </c>
      <c r="I221" s="7">
        <v>25078.404999999999</v>
      </c>
      <c r="J221" s="7">
        <v>1354233.8699999999</v>
      </c>
    </row>
    <row r="222" spans="1:10" ht="27.6" outlineLevel="1" x14ac:dyDescent="0.3">
      <c r="A222" s="8">
        <v>220</v>
      </c>
      <c r="B222" s="9" t="s">
        <v>376</v>
      </c>
      <c r="C222" s="10" t="s">
        <v>121</v>
      </c>
      <c r="D222" s="9" t="s">
        <v>325</v>
      </c>
      <c r="E222" s="11">
        <v>35.450000000000003</v>
      </c>
      <c r="F222" s="7">
        <v>1099929.1496452501</v>
      </c>
      <c r="G222" s="7">
        <v>622035</v>
      </c>
      <c r="H222" s="7">
        <v>144022.89636000001</v>
      </c>
      <c r="I222" s="7">
        <v>2339798.9432236645</v>
      </c>
      <c r="J222" s="7">
        <v>82945872.53727892</v>
      </c>
    </row>
    <row r="223" spans="1:10" ht="27.6" outlineLevel="1" x14ac:dyDescent="0.3">
      <c r="A223" s="8">
        <v>221</v>
      </c>
      <c r="B223" s="9" t="s">
        <v>361</v>
      </c>
      <c r="C223" s="10" t="s">
        <v>114</v>
      </c>
      <c r="D223" s="9" t="s">
        <v>342</v>
      </c>
      <c r="E223" s="11">
        <v>2.1363300000000001</v>
      </c>
      <c r="F223" s="7">
        <v>12994917.369999999</v>
      </c>
      <c r="G223" s="7">
        <v>4729870</v>
      </c>
      <c r="H223" s="7">
        <v>191512.4154</v>
      </c>
      <c r="I223" s="7">
        <v>22465611.105983708</v>
      </c>
      <c r="J223" s="7">
        <v>47993958.974046178</v>
      </c>
    </row>
    <row r="224" spans="1:10" ht="27.6" outlineLevel="1" x14ac:dyDescent="0.3">
      <c r="A224" s="8">
        <v>222</v>
      </c>
      <c r="B224" s="9" t="s">
        <v>362</v>
      </c>
      <c r="C224" s="10" t="s">
        <v>52</v>
      </c>
      <c r="D224" s="9" t="s">
        <v>342</v>
      </c>
      <c r="E224" s="11">
        <v>5.2197299999999993</v>
      </c>
      <c r="F224" s="7">
        <v>14447952.18</v>
      </c>
      <c r="G224" s="7">
        <v>2878790</v>
      </c>
      <c r="H224" s="7">
        <v>694315.36884000001</v>
      </c>
      <c r="I224" s="7">
        <v>22596968.986905839</v>
      </c>
      <c r="J224" s="7">
        <v>117950076.930022</v>
      </c>
    </row>
    <row r="225" spans="1:10" ht="27.6" outlineLevel="1" x14ac:dyDescent="0.3">
      <c r="A225" s="8">
        <v>223</v>
      </c>
      <c r="B225" s="9" t="s">
        <v>370</v>
      </c>
      <c r="C225" s="10" t="s">
        <v>53</v>
      </c>
      <c r="D225" s="9" t="s">
        <v>342</v>
      </c>
      <c r="E225" s="11">
        <v>7.1975699999999998</v>
      </c>
      <c r="F225" s="7">
        <v>14597193.99</v>
      </c>
      <c r="G225" s="7">
        <v>2425035</v>
      </c>
      <c r="H225" s="7">
        <v>792602.45459999994</v>
      </c>
      <c r="I225" s="7">
        <v>22338377.898720693</v>
      </c>
      <c r="J225" s="7">
        <v>160782038.61249509</v>
      </c>
    </row>
    <row r="226" spans="1:10" ht="13.8" outlineLevel="1" x14ac:dyDescent="0.3">
      <c r="A226" s="8">
        <v>224</v>
      </c>
      <c r="B226" s="9" t="s">
        <v>363</v>
      </c>
      <c r="C226" s="10" t="s">
        <v>54</v>
      </c>
      <c r="D226" s="9" t="s">
        <v>345</v>
      </c>
      <c r="E226" s="11">
        <v>1.4180000000000001</v>
      </c>
      <c r="F226" s="7">
        <v>2174259.2235000003</v>
      </c>
      <c r="G226" s="7">
        <v>7502623</v>
      </c>
      <c r="H226" s="7">
        <v>1211538.8232</v>
      </c>
      <c r="I226" s="7">
        <v>13653211.640983328</v>
      </c>
      <c r="J226" s="7">
        <v>19360254.10691436</v>
      </c>
    </row>
    <row r="227" spans="1:10" ht="13.8" outlineLevel="1" x14ac:dyDescent="0.3">
      <c r="A227" s="8">
        <v>225</v>
      </c>
      <c r="B227" s="9" t="s">
        <v>388</v>
      </c>
      <c r="C227" s="10" t="s">
        <v>136</v>
      </c>
      <c r="D227" s="9" t="s">
        <v>387</v>
      </c>
      <c r="E227" s="11">
        <v>9</v>
      </c>
      <c r="F227" s="7">
        <v>740878.11</v>
      </c>
      <c r="G227" s="7">
        <v>482619.12000000005</v>
      </c>
      <c r="H227" s="7">
        <v>666098.19999999995</v>
      </c>
      <c r="I227" s="7">
        <v>2369401.9739844576</v>
      </c>
      <c r="J227" s="7">
        <v>21324617.765860118</v>
      </c>
    </row>
    <row r="228" spans="1:10" ht="27.6" outlineLevel="1" x14ac:dyDescent="0.3">
      <c r="A228" s="8">
        <v>226</v>
      </c>
      <c r="B228" s="9" t="s">
        <v>376</v>
      </c>
      <c r="C228" s="10" t="s">
        <v>122</v>
      </c>
      <c r="D228" s="9" t="s">
        <v>325</v>
      </c>
      <c r="E228" s="11">
        <v>7.25</v>
      </c>
      <c r="F228" s="7">
        <v>1099929.1496452501</v>
      </c>
      <c r="G228" s="7">
        <v>622035</v>
      </c>
      <c r="H228" s="7">
        <v>144022.89636000001</v>
      </c>
      <c r="I228" s="7">
        <v>2339798.9432236645</v>
      </c>
      <c r="J228" s="7">
        <v>16963542.338371567</v>
      </c>
    </row>
    <row r="229" spans="1:10" ht="27.6" outlineLevel="1" x14ac:dyDescent="0.3">
      <c r="A229" s="8">
        <v>227</v>
      </c>
      <c r="B229" s="9" t="s">
        <v>361</v>
      </c>
      <c r="C229" s="10" t="s">
        <v>114</v>
      </c>
      <c r="D229" s="9" t="s">
        <v>342</v>
      </c>
      <c r="E229" s="11">
        <v>0.50051999999999996</v>
      </c>
      <c r="F229" s="7">
        <v>12994917.369999999</v>
      </c>
      <c r="G229" s="7">
        <v>4729870</v>
      </c>
      <c r="H229" s="7">
        <v>191512.4154</v>
      </c>
      <c r="I229" s="7">
        <v>22465611.105983708</v>
      </c>
      <c r="J229" s="7">
        <v>11244487.670766965</v>
      </c>
    </row>
    <row r="230" spans="1:10" ht="27.6" outlineLevel="1" x14ac:dyDescent="0.3">
      <c r="A230" s="8">
        <v>228</v>
      </c>
      <c r="B230" s="9" t="s">
        <v>362</v>
      </c>
      <c r="C230" s="10" t="s">
        <v>52</v>
      </c>
      <c r="D230" s="9" t="s">
        <v>342</v>
      </c>
      <c r="E230" s="11">
        <v>1.08582</v>
      </c>
      <c r="F230" s="7">
        <v>14447952.18</v>
      </c>
      <c r="G230" s="7">
        <v>2878790</v>
      </c>
      <c r="H230" s="7">
        <v>694315.36884000001</v>
      </c>
      <c r="I230" s="7">
        <v>22596968.986905839</v>
      </c>
      <c r="J230" s="7">
        <v>24536240.8653621</v>
      </c>
    </row>
    <row r="231" spans="1:10" ht="27.6" outlineLevel="1" x14ac:dyDescent="0.3">
      <c r="A231" s="8">
        <v>229</v>
      </c>
      <c r="B231" s="9" t="s">
        <v>370</v>
      </c>
      <c r="C231" s="10" t="s">
        <v>53</v>
      </c>
      <c r="D231" s="9" t="s">
        <v>342</v>
      </c>
      <c r="E231" s="11">
        <v>0.28994999999999999</v>
      </c>
      <c r="F231" s="7">
        <v>14597193.99</v>
      </c>
      <c r="G231" s="7">
        <v>2425035</v>
      </c>
      <c r="H231" s="7">
        <v>792602.45459999994</v>
      </c>
      <c r="I231" s="7">
        <v>22338377.898720693</v>
      </c>
      <c r="J231" s="7">
        <v>6477012.6717340648</v>
      </c>
    </row>
    <row r="232" spans="1:10" ht="13.8" outlineLevel="1" x14ac:dyDescent="0.3">
      <c r="A232" s="8">
        <v>230</v>
      </c>
      <c r="B232" s="9" t="s">
        <v>363</v>
      </c>
      <c r="C232" s="10" t="s">
        <v>54</v>
      </c>
      <c r="D232" s="9" t="s">
        <v>345</v>
      </c>
      <c r="E232" s="11">
        <v>0.28999999999999998</v>
      </c>
      <c r="F232" s="7">
        <v>2174259.2235000003</v>
      </c>
      <c r="G232" s="7">
        <v>7502623</v>
      </c>
      <c r="H232" s="7">
        <v>1211538.8232</v>
      </c>
      <c r="I232" s="7">
        <v>13653211.640983328</v>
      </c>
      <c r="J232" s="7">
        <v>3959431.3758851648</v>
      </c>
    </row>
    <row r="233" spans="1:10" ht="13.8" outlineLevel="1" x14ac:dyDescent="0.3">
      <c r="A233" s="8">
        <v>231</v>
      </c>
      <c r="B233" s="9" t="s">
        <v>389</v>
      </c>
      <c r="C233" s="10" t="s">
        <v>137</v>
      </c>
      <c r="D233" s="9" t="s">
        <v>342</v>
      </c>
      <c r="E233" s="11">
        <v>0.93258000000000008</v>
      </c>
      <c r="F233" s="7">
        <v>15737454.955800001</v>
      </c>
      <c r="G233" s="7">
        <v>4827774.8</v>
      </c>
      <c r="H233" s="7">
        <v>3787484.9914000002</v>
      </c>
      <c r="I233" s="7">
        <v>30536362.163987711</v>
      </c>
      <c r="J233" s="7">
        <v>28477600.626891661</v>
      </c>
    </row>
    <row r="234" spans="1:10" ht="13.8" outlineLevel="1" x14ac:dyDescent="0.3">
      <c r="A234" s="8">
        <v>232</v>
      </c>
      <c r="B234" s="9" t="s">
        <v>377</v>
      </c>
      <c r="C234" s="10" t="s">
        <v>138</v>
      </c>
      <c r="D234" s="9" t="s">
        <v>342</v>
      </c>
      <c r="E234" s="11">
        <v>0.60821999999999998</v>
      </c>
      <c r="F234" s="7">
        <v>14761980.6</v>
      </c>
      <c r="G234" s="7">
        <v>8389960</v>
      </c>
      <c r="H234" s="7">
        <v>106743.84</v>
      </c>
      <c r="I234" s="7">
        <v>29164535.407675914</v>
      </c>
      <c r="J234" s="7">
        <v>17738453.725656644</v>
      </c>
    </row>
    <row r="235" spans="1:10" ht="27.6" outlineLevel="1" x14ac:dyDescent="0.3">
      <c r="A235" s="8">
        <v>233</v>
      </c>
      <c r="B235" s="9" t="s">
        <v>390</v>
      </c>
      <c r="C235" s="10" t="s">
        <v>139</v>
      </c>
      <c r="D235" s="9" t="s">
        <v>325</v>
      </c>
      <c r="E235" s="11">
        <v>916.23</v>
      </c>
      <c r="F235" s="7">
        <v>1132600.312506</v>
      </c>
      <c r="G235" s="7">
        <v>619030</v>
      </c>
      <c r="H235" s="7">
        <v>144022.89636000001</v>
      </c>
      <c r="I235" s="7">
        <v>2376997.9455745574</v>
      </c>
      <c r="J235" s="7">
        <v>2177876827.6737766</v>
      </c>
    </row>
    <row r="236" spans="1:10" ht="27.6" outlineLevel="1" x14ac:dyDescent="0.3">
      <c r="A236" s="8">
        <v>234</v>
      </c>
      <c r="B236" s="9" t="s">
        <v>347</v>
      </c>
      <c r="C236" s="10" t="s">
        <v>52</v>
      </c>
      <c r="D236" s="9" t="s">
        <v>342</v>
      </c>
      <c r="E236" s="11">
        <v>2.0173199999999998</v>
      </c>
      <c r="F236" s="7">
        <v>14446806.720000001</v>
      </c>
      <c r="G236" s="7">
        <v>3371610</v>
      </c>
      <c r="H236" s="7">
        <v>688106.74512000009</v>
      </c>
      <c r="I236" s="7">
        <v>23205704.530014135</v>
      </c>
      <c r="J236" s="7">
        <v>46813331.862488106</v>
      </c>
    </row>
    <row r="237" spans="1:10" ht="27.6" outlineLevel="1" x14ac:dyDescent="0.3">
      <c r="A237" s="8">
        <v>235</v>
      </c>
      <c r="B237" s="9" t="s">
        <v>348</v>
      </c>
      <c r="C237" s="10" t="s">
        <v>53</v>
      </c>
      <c r="D237" s="9" t="s">
        <v>342</v>
      </c>
      <c r="E237" s="11">
        <v>26.142849999999999</v>
      </c>
      <c r="F237" s="7">
        <v>14583066.65</v>
      </c>
      <c r="G237" s="7">
        <v>2695485</v>
      </c>
      <c r="H237" s="7">
        <v>703771.37676000013</v>
      </c>
      <c r="I237" s="7">
        <v>22548398.98529565</v>
      </c>
      <c r="J237" s="7">
        <v>589479412.41273642</v>
      </c>
    </row>
    <row r="238" spans="1:10" ht="13.8" outlineLevel="1" x14ac:dyDescent="0.3">
      <c r="A238" s="8">
        <v>236</v>
      </c>
      <c r="B238" s="9" t="s">
        <v>349</v>
      </c>
      <c r="C238" s="10" t="s">
        <v>54</v>
      </c>
      <c r="D238" s="9" t="s">
        <v>345</v>
      </c>
      <c r="E238" s="11">
        <v>18.3246</v>
      </c>
      <c r="F238" s="7">
        <v>2152725.4455000004</v>
      </c>
      <c r="G238" s="7">
        <v>9296728.5</v>
      </c>
      <c r="H238" s="7">
        <v>1211538.8232</v>
      </c>
      <c r="I238" s="7">
        <v>15875875.217776498</v>
      </c>
      <c r="J238" s="7">
        <v>290919063.0156672</v>
      </c>
    </row>
    <row r="239" spans="1:10" ht="27.6" outlineLevel="1" x14ac:dyDescent="0.3">
      <c r="A239" s="8">
        <v>237</v>
      </c>
      <c r="B239" s="9" t="s">
        <v>391</v>
      </c>
      <c r="C239" s="10" t="s">
        <v>140</v>
      </c>
      <c r="D239" s="9" t="s">
        <v>325</v>
      </c>
      <c r="E239" s="11">
        <v>1533.2</v>
      </c>
      <c r="F239" s="7">
        <v>978202.55185575015</v>
      </c>
      <c r="G239" s="7">
        <v>405675</v>
      </c>
      <c r="H239" s="7">
        <v>121043.22</v>
      </c>
      <c r="I239" s="7">
        <v>1887050.6304755553</v>
      </c>
      <c r="J239" s="7">
        <v>2893226026.6451216</v>
      </c>
    </row>
    <row r="240" spans="1:10" ht="27.6" outlineLevel="1" x14ac:dyDescent="0.3">
      <c r="A240" s="8">
        <v>238</v>
      </c>
      <c r="B240" s="9" t="s">
        <v>392</v>
      </c>
      <c r="C240" s="10" t="s">
        <v>141</v>
      </c>
      <c r="D240" s="9" t="s">
        <v>393</v>
      </c>
      <c r="E240" s="11">
        <v>146.61328</v>
      </c>
      <c r="F240" s="7">
        <v>14446903.087748947</v>
      </c>
      <c r="G240" s="7">
        <v>3630040</v>
      </c>
      <c r="H240" s="7">
        <v>739879.74</v>
      </c>
      <c r="I240" s="7">
        <v>23594795.184376664</v>
      </c>
      <c r="J240" s="7">
        <v>3459310312.9096675</v>
      </c>
    </row>
    <row r="241" spans="1:10" ht="13.8" outlineLevel="1" x14ac:dyDescent="0.3">
      <c r="A241" s="8">
        <v>239</v>
      </c>
      <c r="B241" s="9" t="s">
        <v>394</v>
      </c>
      <c r="C241" s="10" t="s">
        <v>142</v>
      </c>
      <c r="D241" s="9" t="s">
        <v>345</v>
      </c>
      <c r="E241" s="11">
        <v>122.65600000000001</v>
      </c>
      <c r="F241" s="7">
        <v>1270065.7619999999</v>
      </c>
      <c r="G241" s="7">
        <v>3705643.36</v>
      </c>
      <c r="H241" s="7">
        <v>358189.83</v>
      </c>
      <c r="I241" s="7">
        <v>6688283.9073665775</v>
      </c>
      <c r="J241" s="7">
        <v>820358150.94195497</v>
      </c>
    </row>
    <row r="242" spans="1:10" ht="27.6" outlineLevel="1" x14ac:dyDescent="0.3">
      <c r="A242" s="8">
        <v>240</v>
      </c>
      <c r="B242" s="9" t="s">
        <v>395</v>
      </c>
      <c r="C242" s="10" t="s">
        <v>143</v>
      </c>
      <c r="D242" s="9" t="s">
        <v>325</v>
      </c>
      <c r="E242" s="11">
        <v>6556.55</v>
      </c>
      <c r="F242" s="7">
        <v>810622.44719999994</v>
      </c>
      <c r="G242" s="7">
        <v>444740</v>
      </c>
      <c r="H242" s="7">
        <v>145495.43160000001</v>
      </c>
      <c r="I242" s="7">
        <v>1756564.0615993654</v>
      </c>
      <c r="J242" s="7">
        <v>11517000098.079319</v>
      </c>
    </row>
    <row r="243" spans="1:10" ht="13.8" outlineLevel="1" x14ac:dyDescent="0.3">
      <c r="A243" s="8">
        <v>241</v>
      </c>
      <c r="B243" s="9" t="s">
        <v>349</v>
      </c>
      <c r="C243" s="10" t="s">
        <v>131</v>
      </c>
      <c r="D243" s="9" t="s">
        <v>345</v>
      </c>
      <c r="E243" s="11">
        <v>262.262</v>
      </c>
      <c r="F243" s="7">
        <v>2152725.4455000004</v>
      </c>
      <c r="G243" s="7">
        <v>9296728.5</v>
      </c>
      <c r="H243" s="7">
        <v>1211538.8232</v>
      </c>
      <c r="I243" s="7">
        <v>15875875.217776498</v>
      </c>
      <c r="J243" s="7">
        <v>4163638786.3645</v>
      </c>
    </row>
    <row r="244" spans="1:10" ht="27.6" outlineLevel="1" x14ac:dyDescent="0.3">
      <c r="A244" s="8">
        <v>242</v>
      </c>
      <c r="B244" s="9" t="s">
        <v>396</v>
      </c>
      <c r="C244" s="10" t="s">
        <v>144</v>
      </c>
      <c r="D244" s="9" t="s">
        <v>325</v>
      </c>
      <c r="E244" s="11">
        <v>10703.26</v>
      </c>
      <c r="F244" s="7">
        <v>810622.44719999994</v>
      </c>
      <c r="G244" s="7">
        <v>619030</v>
      </c>
      <c r="H244" s="7">
        <v>144022.89636000001</v>
      </c>
      <c r="I244" s="7">
        <v>1973263.3802155908</v>
      </c>
      <c r="J244" s="7">
        <v>21120351006.926327</v>
      </c>
    </row>
    <row r="245" spans="1:10" ht="13.8" outlineLevel="1" x14ac:dyDescent="0.3">
      <c r="A245" s="8">
        <v>243</v>
      </c>
      <c r="B245" s="9" t="s">
        <v>349</v>
      </c>
      <c r="C245" s="10" t="s">
        <v>131</v>
      </c>
      <c r="D245" s="9" t="s">
        <v>345</v>
      </c>
      <c r="E245" s="11">
        <v>428.13040000000001</v>
      </c>
      <c r="F245" s="7">
        <v>2152725.4455000004</v>
      </c>
      <c r="G245" s="7">
        <v>9296728.5</v>
      </c>
      <c r="H245" s="7">
        <v>1211538.8232</v>
      </c>
      <c r="I245" s="7">
        <v>15875875.217776498</v>
      </c>
      <c r="J245" s="7">
        <v>6796944807.3367395</v>
      </c>
    </row>
    <row r="246" spans="1:10" ht="27.6" outlineLevel="1" x14ac:dyDescent="0.3">
      <c r="A246" s="8">
        <v>244</v>
      </c>
      <c r="B246" s="9" t="s">
        <v>397</v>
      </c>
      <c r="C246" s="10" t="s">
        <v>145</v>
      </c>
      <c r="D246" s="9" t="s">
        <v>325</v>
      </c>
      <c r="E246" s="11">
        <v>15.54</v>
      </c>
      <c r="F246" s="7">
        <v>969502.72392050002</v>
      </c>
      <c r="G246" s="7">
        <v>366008.99999999994</v>
      </c>
      <c r="H246" s="7">
        <v>81480.197</v>
      </c>
      <c r="I246" s="7">
        <v>1776794.8637286134</v>
      </c>
      <c r="J246" s="7">
        <v>27611392.182342649</v>
      </c>
    </row>
    <row r="247" spans="1:10" ht="13.8" outlineLevel="1" x14ac:dyDescent="0.3">
      <c r="A247" s="8">
        <v>245</v>
      </c>
      <c r="B247" s="9" t="s">
        <v>344</v>
      </c>
      <c r="C247" s="10" t="s">
        <v>131</v>
      </c>
      <c r="D247" s="9" t="s">
        <v>345</v>
      </c>
      <c r="E247" s="11">
        <v>0.62159999999999993</v>
      </c>
      <c r="F247" s="7">
        <v>1302754.74</v>
      </c>
      <c r="G247" s="7">
        <v>3995962.25</v>
      </c>
      <c r="H247" s="7">
        <v>391620.88079999998</v>
      </c>
      <c r="I247" s="7">
        <v>7135229.8855380043</v>
      </c>
      <c r="J247" s="7">
        <v>4435258.896850423</v>
      </c>
    </row>
    <row r="248" spans="1:10" ht="27.6" outlineLevel="1" x14ac:dyDescent="0.3">
      <c r="A248" s="8">
        <v>246</v>
      </c>
      <c r="B248" s="9" t="s">
        <v>398</v>
      </c>
      <c r="C248" s="10" t="s">
        <v>146</v>
      </c>
      <c r="D248" s="9" t="s">
        <v>325</v>
      </c>
      <c r="E248" s="11">
        <v>132.49</v>
      </c>
      <c r="F248" s="7">
        <v>969502.72392050002</v>
      </c>
      <c r="G248" s="7">
        <v>299298</v>
      </c>
      <c r="H248" s="7">
        <v>27810.096999999998</v>
      </c>
      <c r="I248" s="7">
        <v>1625846.5647213385</v>
      </c>
      <c r="J248" s="7">
        <v>215408411.35993016</v>
      </c>
    </row>
    <row r="249" spans="1:10" ht="13.8" outlineLevel="1" x14ac:dyDescent="0.3">
      <c r="A249" s="8">
        <v>247</v>
      </c>
      <c r="B249" s="9" t="s">
        <v>344</v>
      </c>
      <c r="C249" s="10" t="s">
        <v>131</v>
      </c>
      <c r="D249" s="9" t="s">
        <v>345</v>
      </c>
      <c r="E249" s="11">
        <v>15.898800000000001</v>
      </c>
      <c r="F249" s="7">
        <v>1302754.74</v>
      </c>
      <c r="G249" s="7">
        <v>3995962.25</v>
      </c>
      <c r="H249" s="7">
        <v>391620.88079999998</v>
      </c>
      <c r="I249" s="7">
        <v>7135229.8855380043</v>
      </c>
      <c r="J249" s="7">
        <v>113441592.90419163</v>
      </c>
    </row>
    <row r="250" spans="1:10" ht="27.6" outlineLevel="1" x14ac:dyDescent="0.3">
      <c r="A250" s="8">
        <v>248</v>
      </c>
      <c r="B250" s="9" t="s">
        <v>399</v>
      </c>
      <c r="C250" s="10" t="s">
        <v>147</v>
      </c>
      <c r="D250" s="9" t="s">
        <v>325</v>
      </c>
      <c r="E250" s="11">
        <v>286.20999999999998</v>
      </c>
      <c r="F250" s="7">
        <v>968517.37807500013</v>
      </c>
      <c r="G250" s="7">
        <v>115415.58</v>
      </c>
      <c r="H250" s="7">
        <v>92608.176999999996</v>
      </c>
      <c r="I250" s="7">
        <v>1475288.7542285279</v>
      </c>
      <c r="J250" s="7">
        <v>422242394.34774691</v>
      </c>
    </row>
    <row r="251" spans="1:10" ht="27.6" outlineLevel="1" x14ac:dyDescent="0.3">
      <c r="A251" s="8">
        <v>249</v>
      </c>
      <c r="B251" s="9" t="s">
        <v>400</v>
      </c>
      <c r="C251" s="10" t="s">
        <v>148</v>
      </c>
      <c r="D251" s="9" t="s">
        <v>325</v>
      </c>
      <c r="E251" s="11">
        <v>357.87</v>
      </c>
      <c r="F251" s="7">
        <v>1007258.0731980001</v>
      </c>
      <c r="G251" s="7">
        <v>619030</v>
      </c>
      <c r="H251" s="7">
        <v>144022.89636000001</v>
      </c>
      <c r="I251" s="7">
        <v>2219828.77352591</v>
      </c>
      <c r="J251" s="7">
        <v>794410123.1817174</v>
      </c>
    </row>
    <row r="252" spans="1:10" ht="27.6" outlineLevel="1" x14ac:dyDescent="0.3">
      <c r="A252" s="8">
        <v>250</v>
      </c>
      <c r="B252" s="9" t="s">
        <v>391</v>
      </c>
      <c r="C252" s="10" t="s">
        <v>149</v>
      </c>
      <c r="D252" s="9" t="s">
        <v>325</v>
      </c>
      <c r="E252" s="11">
        <v>330.17</v>
      </c>
      <c r="F252" s="7">
        <v>978202.55185575015</v>
      </c>
      <c r="G252" s="7">
        <v>405675</v>
      </c>
      <c r="H252" s="7">
        <v>121043.22</v>
      </c>
      <c r="I252" s="7">
        <v>1887050.6304755553</v>
      </c>
      <c r="J252" s="7">
        <v>623047506.66411412</v>
      </c>
    </row>
    <row r="253" spans="1:10" ht="13.8" outlineLevel="1" x14ac:dyDescent="0.3">
      <c r="A253" s="8">
        <v>251</v>
      </c>
      <c r="B253" s="9" t="s">
        <v>394</v>
      </c>
      <c r="C253" s="10" t="s">
        <v>142</v>
      </c>
      <c r="D253" s="9" t="s">
        <v>345</v>
      </c>
      <c r="E253" s="11">
        <v>6.6034000000000006</v>
      </c>
      <c r="F253" s="7">
        <v>1270065.7619999999</v>
      </c>
      <c r="G253" s="7">
        <v>3705643.36</v>
      </c>
      <c r="H253" s="7">
        <v>358189.83</v>
      </c>
      <c r="I253" s="7">
        <v>6688283.9073665775</v>
      </c>
      <c r="J253" s="7">
        <v>44165413.953904465</v>
      </c>
    </row>
    <row r="254" spans="1:10" ht="27.6" outlineLevel="1" x14ac:dyDescent="0.3">
      <c r="A254" s="8">
        <v>252</v>
      </c>
      <c r="B254" s="9" t="s">
        <v>401</v>
      </c>
      <c r="C254" s="10" t="s">
        <v>150</v>
      </c>
      <c r="D254" s="9" t="s">
        <v>325</v>
      </c>
      <c r="E254" s="11">
        <v>266.02</v>
      </c>
      <c r="F254" s="7">
        <v>908484.25864999997</v>
      </c>
      <c r="G254" s="7">
        <v>115415.58</v>
      </c>
      <c r="H254" s="7">
        <v>92608.176999999996</v>
      </c>
      <c r="I254" s="7">
        <v>1400012.0101108518</v>
      </c>
      <c r="J254" s="7">
        <v>372431194.92968881</v>
      </c>
    </row>
    <row r="255" spans="1:10" ht="27.6" outlineLevel="1" x14ac:dyDescent="0.3">
      <c r="A255" s="8">
        <v>253</v>
      </c>
      <c r="B255" s="9" t="s">
        <v>402</v>
      </c>
      <c r="C255" s="10" t="s">
        <v>151</v>
      </c>
      <c r="D255" s="9" t="s">
        <v>384</v>
      </c>
      <c r="E255" s="11">
        <v>2693.79</v>
      </c>
      <c r="F255" s="7">
        <v>99425.5</v>
      </c>
      <c r="G255" s="7">
        <v>141235</v>
      </c>
      <c r="H255" s="7">
        <v>0</v>
      </c>
      <c r="I255" s="7">
        <v>301769.07432512497</v>
      </c>
      <c r="J255" s="7">
        <v>812902514.72627842</v>
      </c>
    </row>
    <row r="256" spans="1:10" ht="13.8" outlineLevel="1" x14ac:dyDescent="0.3">
      <c r="A256" s="8">
        <v>254</v>
      </c>
      <c r="B256" s="9" t="s">
        <v>403</v>
      </c>
      <c r="C256" s="10" t="s">
        <v>152</v>
      </c>
      <c r="D256" s="9" t="s">
        <v>404</v>
      </c>
      <c r="E256" s="11">
        <v>373.13</v>
      </c>
      <c r="F256" s="7">
        <v>170680.74746000004</v>
      </c>
      <c r="G256" s="7">
        <v>717642.20000000007</v>
      </c>
      <c r="H256" s="7">
        <v>0</v>
      </c>
      <c r="I256" s="7">
        <v>1113886.1323597801</v>
      </c>
      <c r="J256" s="7">
        <v>415624332.56740475</v>
      </c>
    </row>
    <row r="257" spans="1:10" ht="13.8" outlineLevel="1" x14ac:dyDescent="0.3">
      <c r="A257" s="8">
        <v>255</v>
      </c>
      <c r="B257" s="9" t="s">
        <v>405</v>
      </c>
      <c r="C257" s="10" t="s">
        <v>153</v>
      </c>
      <c r="D257" s="9" t="s">
        <v>404</v>
      </c>
      <c r="E257" s="11">
        <v>0</v>
      </c>
      <c r="F257" s="7">
        <v>67619.5</v>
      </c>
      <c r="G257" s="7">
        <v>114170.34999999999</v>
      </c>
      <c r="H257" s="7">
        <v>0</v>
      </c>
      <c r="I257" s="7">
        <v>227949.97415946246</v>
      </c>
      <c r="J257" s="7">
        <v>0</v>
      </c>
    </row>
    <row r="258" spans="1:10" ht="13.8" outlineLevel="1" x14ac:dyDescent="0.3">
      <c r="A258" s="8">
        <v>256</v>
      </c>
      <c r="B258" s="9" t="s">
        <v>406</v>
      </c>
      <c r="C258" s="10" t="s">
        <v>154</v>
      </c>
      <c r="D258" s="9" t="s">
        <v>404</v>
      </c>
      <c r="E258" s="11">
        <v>224.44</v>
      </c>
      <c r="F258" s="7">
        <v>2610309.3987129997</v>
      </c>
      <c r="G258" s="7">
        <v>3552328.89</v>
      </c>
      <c r="H258" s="7">
        <v>10300.884</v>
      </c>
      <c r="I258" s="7">
        <v>7740373.4306830764</v>
      </c>
      <c r="J258" s="7">
        <v>1737249412.7825096</v>
      </c>
    </row>
    <row r="259" spans="1:10" ht="13.8" outlineLevel="1" x14ac:dyDescent="0.3">
      <c r="A259" s="8">
        <v>257</v>
      </c>
      <c r="B259" s="9" t="s">
        <v>407</v>
      </c>
      <c r="C259" s="10" t="s">
        <v>155</v>
      </c>
      <c r="D259" s="9" t="s">
        <v>342</v>
      </c>
      <c r="E259" s="11">
        <v>0.35876999999999998</v>
      </c>
      <c r="F259" s="7">
        <v>15034515.540000001</v>
      </c>
      <c r="G259" s="7">
        <v>8399675.75</v>
      </c>
      <c r="H259" s="7">
        <v>2622043.1999999997</v>
      </c>
      <c r="I259" s="7">
        <v>32672440.06575942</v>
      </c>
      <c r="J259" s="7">
        <v>11721891.322392507</v>
      </c>
    </row>
    <row r="260" spans="1:10" ht="13.8" outlineLevel="1" x14ac:dyDescent="0.3">
      <c r="A260" s="8">
        <v>258</v>
      </c>
      <c r="B260" s="9" t="s">
        <v>383</v>
      </c>
      <c r="C260" s="10" t="s">
        <v>133</v>
      </c>
      <c r="D260" s="9" t="s">
        <v>384</v>
      </c>
      <c r="E260" s="11">
        <v>17</v>
      </c>
      <c r="F260" s="7">
        <v>6659.1598384499994</v>
      </c>
      <c r="G260" s="7">
        <v>130480.40000000001</v>
      </c>
      <c r="H260" s="7">
        <v>32775.54</v>
      </c>
      <c r="I260" s="7">
        <v>213059.9844682042</v>
      </c>
      <c r="J260" s="7">
        <v>3622019.7359594712</v>
      </c>
    </row>
    <row r="261" spans="1:10" ht="27.6" outlineLevel="1" x14ac:dyDescent="0.3">
      <c r="A261" s="8">
        <v>259</v>
      </c>
      <c r="B261" s="9" t="s">
        <v>408</v>
      </c>
      <c r="C261" s="10" t="s">
        <v>156</v>
      </c>
      <c r="D261" s="9" t="s">
        <v>325</v>
      </c>
      <c r="E261" s="11">
        <v>162.9</v>
      </c>
      <c r="F261" s="7">
        <v>1169067.2948948003</v>
      </c>
      <c r="G261" s="7">
        <v>217091.21000000002</v>
      </c>
      <c r="H261" s="7">
        <v>108255.41377999999</v>
      </c>
      <c r="I261" s="7">
        <v>1873875.8745081851</v>
      </c>
      <c r="J261" s="7">
        <v>305254379.95738333</v>
      </c>
    </row>
    <row r="262" spans="1:10" ht="41.4" outlineLevel="1" x14ac:dyDescent="0.3">
      <c r="A262" s="8">
        <v>260</v>
      </c>
      <c r="B262" s="9" t="s">
        <v>409</v>
      </c>
      <c r="C262" s="10" t="s">
        <v>157</v>
      </c>
      <c r="D262" s="9" t="s">
        <v>410</v>
      </c>
      <c r="E262" s="11">
        <v>2.3460000000000001</v>
      </c>
      <c r="F262" s="7">
        <v>807278428.77090001</v>
      </c>
      <c r="G262" s="7">
        <v>10748885.000000002</v>
      </c>
      <c r="H262" s="7">
        <v>8524689.1199999992</v>
      </c>
      <c r="I262" s="7">
        <v>1036430294.102958</v>
      </c>
      <c r="J262" s="7">
        <v>2431465469.9655395</v>
      </c>
    </row>
    <row r="263" spans="1:10" ht="41.4" outlineLevel="1" x14ac:dyDescent="0.3">
      <c r="A263" s="8">
        <v>261</v>
      </c>
      <c r="B263" s="9" t="s">
        <v>411</v>
      </c>
      <c r="C263" s="10" t="s">
        <v>158</v>
      </c>
      <c r="D263" s="9" t="s">
        <v>342</v>
      </c>
      <c r="E263" s="11">
        <v>11.295727999999999</v>
      </c>
      <c r="F263" s="7">
        <v>15327873.577500001</v>
      </c>
      <c r="G263" s="7">
        <v>6002098.3999999994</v>
      </c>
      <c r="H263" s="7">
        <v>2964312.9128</v>
      </c>
      <c r="I263" s="7">
        <v>30463095.783216193</v>
      </c>
      <c r="J263" s="7">
        <v>344102844.00515705</v>
      </c>
    </row>
    <row r="264" spans="1:10" ht="27.6" outlineLevel="1" x14ac:dyDescent="0.3">
      <c r="A264" s="8">
        <v>262</v>
      </c>
      <c r="B264" s="9" t="s">
        <v>412</v>
      </c>
      <c r="C264" s="10" t="s">
        <v>159</v>
      </c>
      <c r="D264" s="9" t="s">
        <v>342</v>
      </c>
      <c r="E264" s="11">
        <v>11.295727999999999</v>
      </c>
      <c r="F264" s="7">
        <v>885643.39650000003</v>
      </c>
      <c r="G264" s="7">
        <v>5708517.5</v>
      </c>
      <c r="H264" s="7">
        <v>4215962.7150999997</v>
      </c>
      <c r="I264" s="7">
        <v>13555032.901588375</v>
      </c>
      <c r="J264" s="7">
        <v>153113964.68739304</v>
      </c>
    </row>
    <row r="265" spans="1:10" ht="13.8" outlineLevel="1" x14ac:dyDescent="0.3">
      <c r="A265" s="8">
        <v>263</v>
      </c>
      <c r="B265" s="9" t="s">
        <v>413</v>
      </c>
      <c r="C265" s="10" t="s">
        <v>160</v>
      </c>
      <c r="D265" s="9" t="s">
        <v>404</v>
      </c>
      <c r="E265" s="11">
        <v>495.4</v>
      </c>
      <c r="F265" s="7">
        <v>174366.348</v>
      </c>
      <c r="G265" s="7">
        <v>411685.00000000006</v>
      </c>
      <c r="H265" s="7">
        <v>755561.86757999996</v>
      </c>
      <c r="I265" s="7">
        <v>1682275.9786833776</v>
      </c>
      <c r="J265" s="7">
        <v>833399519.83974528</v>
      </c>
    </row>
    <row r="266" spans="1:10" ht="13.8" outlineLevel="1" x14ac:dyDescent="0.3">
      <c r="A266" s="8">
        <v>264</v>
      </c>
      <c r="B266" s="9" t="s">
        <v>414</v>
      </c>
      <c r="C266" s="10" t="s">
        <v>161</v>
      </c>
      <c r="D266" s="9" t="s">
        <v>345</v>
      </c>
      <c r="E266" s="11">
        <v>27.450399999999998</v>
      </c>
      <c r="F266" s="7">
        <v>159157.68</v>
      </c>
      <c r="G266" s="7">
        <v>45075</v>
      </c>
      <c r="H266" s="7">
        <v>0</v>
      </c>
      <c r="I266" s="7">
        <v>256091.49316377001</v>
      </c>
      <c r="J266" s="7">
        <v>7029813.9239427522</v>
      </c>
    </row>
    <row r="267" spans="1:10" ht="27.6" outlineLevel="1" x14ac:dyDescent="0.3">
      <c r="A267" s="8">
        <v>265</v>
      </c>
      <c r="B267" s="9" t="s">
        <v>415</v>
      </c>
      <c r="C267" s="10" t="s">
        <v>162</v>
      </c>
      <c r="D267" s="9" t="s">
        <v>312</v>
      </c>
      <c r="E267" s="11">
        <v>1.0046999999999999</v>
      </c>
      <c r="F267" s="7">
        <v>30109966</v>
      </c>
      <c r="G267" s="7">
        <v>1169406.44</v>
      </c>
      <c r="H267" s="7">
        <v>898158.67490999994</v>
      </c>
      <c r="I267" s="7">
        <v>40348057.859990731</v>
      </c>
      <c r="J267" s="7">
        <v>40537693.731932685</v>
      </c>
    </row>
    <row r="268" spans="1:10" ht="41.4" outlineLevel="1" x14ac:dyDescent="0.3">
      <c r="A268" s="8">
        <v>266</v>
      </c>
      <c r="B268" s="9" t="s">
        <v>416</v>
      </c>
      <c r="C268" s="10" t="s">
        <v>163</v>
      </c>
      <c r="D268" s="9" t="s">
        <v>345</v>
      </c>
      <c r="E268" s="11">
        <v>8.6</v>
      </c>
      <c r="F268" s="7">
        <v>20364000</v>
      </c>
      <c r="G268" s="7">
        <v>661100</v>
      </c>
      <c r="H268" s="7">
        <v>591123.05572499998</v>
      </c>
      <c r="I268" s="7">
        <v>27105019.818090457</v>
      </c>
      <c r="J268" s="7">
        <v>233103170.43557793</v>
      </c>
    </row>
    <row r="269" spans="1:10" ht="27.6" outlineLevel="1" x14ac:dyDescent="0.3">
      <c r="A269" s="8">
        <v>267</v>
      </c>
      <c r="B269" s="9" t="s">
        <v>417</v>
      </c>
      <c r="C269" s="10" t="s">
        <v>164</v>
      </c>
      <c r="D269" s="9" t="s">
        <v>345</v>
      </c>
      <c r="E269" s="11">
        <v>8.6</v>
      </c>
      <c r="F269" s="7">
        <v>1670750</v>
      </c>
      <c r="G269" s="7">
        <v>69115</v>
      </c>
      <c r="H269" s="7">
        <v>274278.18971999997</v>
      </c>
      <c r="I269" s="7">
        <v>2525574.9319894998</v>
      </c>
      <c r="J269" s="7">
        <v>21719944.415109698</v>
      </c>
    </row>
    <row r="270" spans="1:10" ht="13.8" outlineLevel="1" x14ac:dyDescent="0.3">
      <c r="A270" s="8">
        <v>268</v>
      </c>
      <c r="B270" s="9" t="s">
        <v>418</v>
      </c>
      <c r="C270" s="10" t="s">
        <v>165</v>
      </c>
      <c r="D270" s="9" t="s">
        <v>312</v>
      </c>
      <c r="E270" s="11">
        <v>1.5216999999999998</v>
      </c>
      <c r="F270" s="7">
        <v>36312934</v>
      </c>
      <c r="G270" s="7">
        <v>2363271.4</v>
      </c>
      <c r="H270" s="7">
        <v>1241278.5705000001</v>
      </c>
      <c r="I270" s="7">
        <v>50053341.479660347</v>
      </c>
      <c r="J270" s="7">
        <v>76166169.729599148</v>
      </c>
    </row>
    <row r="271" spans="1:10" ht="13.8" outlineLevel="1" x14ac:dyDescent="0.3">
      <c r="A271" s="8">
        <v>269</v>
      </c>
      <c r="B271" s="9" t="s">
        <v>419</v>
      </c>
      <c r="C271" s="10" t="s">
        <v>166</v>
      </c>
      <c r="D271" s="9" t="s">
        <v>312</v>
      </c>
      <c r="E271" s="11">
        <v>2.3915999999999999</v>
      </c>
      <c r="F271" s="7">
        <v>45185628</v>
      </c>
      <c r="G271" s="7">
        <v>2363271.4</v>
      </c>
      <c r="H271" s="7">
        <v>1241278.5705000001</v>
      </c>
      <c r="I271" s="7">
        <v>61178992.158313856</v>
      </c>
      <c r="J271" s="7">
        <v>146315677.64582342</v>
      </c>
    </row>
    <row r="272" spans="1:10" ht="13.8" outlineLevel="1" x14ac:dyDescent="0.3">
      <c r="A272" s="8">
        <v>270</v>
      </c>
      <c r="B272" s="9" t="s">
        <v>420</v>
      </c>
      <c r="C272" s="10" t="s">
        <v>167</v>
      </c>
      <c r="D272" s="9" t="s">
        <v>312</v>
      </c>
      <c r="E272" s="11">
        <v>3.4754</v>
      </c>
      <c r="F272" s="7">
        <v>50145621</v>
      </c>
      <c r="G272" s="7">
        <v>1613070.1300000001</v>
      </c>
      <c r="H272" s="7">
        <v>1060907.3192999999</v>
      </c>
      <c r="I272" s="7">
        <v>66231564.09244588</v>
      </c>
      <c r="J272" s="7">
        <v>230181177.84688643</v>
      </c>
    </row>
    <row r="273" spans="1:10" ht="13.8" outlineLevel="1" x14ac:dyDescent="0.3">
      <c r="A273" s="8">
        <v>271</v>
      </c>
      <c r="B273" s="9" t="s">
        <v>421</v>
      </c>
      <c r="C273" s="10" t="s">
        <v>168</v>
      </c>
      <c r="D273" s="9" t="s">
        <v>410</v>
      </c>
      <c r="E273" s="11">
        <v>3.198</v>
      </c>
      <c r="F273" s="7">
        <v>2792568.0188790001</v>
      </c>
      <c r="G273" s="7">
        <v>1646740.0000000002</v>
      </c>
      <c r="H273" s="7">
        <v>0</v>
      </c>
      <c r="I273" s="7">
        <v>5566538.2208597604</v>
      </c>
      <c r="J273" s="7">
        <v>17801789.230309512</v>
      </c>
    </row>
    <row r="274" spans="1:10" ht="13.8" outlineLevel="1" x14ac:dyDescent="0.3">
      <c r="A274" s="8">
        <v>272</v>
      </c>
      <c r="B274" s="9" t="s">
        <v>422</v>
      </c>
      <c r="C274" s="10" t="s">
        <v>169</v>
      </c>
      <c r="D274" s="9" t="s">
        <v>387</v>
      </c>
      <c r="E274" s="11">
        <v>36</v>
      </c>
      <c r="F274" s="7">
        <v>2607618</v>
      </c>
      <c r="G274" s="7">
        <v>1051750</v>
      </c>
      <c r="H274" s="7">
        <v>0</v>
      </c>
      <c r="I274" s="7">
        <v>4588555.6374019999</v>
      </c>
      <c r="J274" s="7">
        <v>165188002.94647199</v>
      </c>
    </row>
    <row r="275" spans="1:10" ht="13.8" outlineLevel="1" x14ac:dyDescent="0.3">
      <c r="A275" s="8">
        <v>273</v>
      </c>
      <c r="B275" s="9" t="s">
        <v>385</v>
      </c>
      <c r="C275" s="10" t="s">
        <v>170</v>
      </c>
      <c r="D275" s="9" t="s">
        <v>387</v>
      </c>
      <c r="E275" s="11">
        <v>388</v>
      </c>
      <c r="F275" s="7">
        <v>45000</v>
      </c>
      <c r="G275" s="7">
        <v>0</v>
      </c>
      <c r="H275" s="7">
        <v>0</v>
      </c>
      <c r="I275" s="7">
        <v>56426.411250000005</v>
      </c>
      <c r="J275" s="7">
        <v>21893447.565000001</v>
      </c>
    </row>
    <row r="276" spans="1:10" ht="27.6" outlineLevel="1" x14ac:dyDescent="0.3">
      <c r="A276" s="8">
        <v>274</v>
      </c>
      <c r="B276" s="9" t="s">
        <v>423</v>
      </c>
      <c r="C276" s="10" t="s">
        <v>171</v>
      </c>
      <c r="D276" s="9" t="s">
        <v>404</v>
      </c>
      <c r="E276" s="11">
        <v>56.25</v>
      </c>
      <c r="F276" s="7">
        <v>1515000</v>
      </c>
      <c r="G276" s="7">
        <v>210350</v>
      </c>
      <c r="H276" s="7">
        <v>0</v>
      </c>
      <c r="I276" s="7">
        <v>2163451.3033375</v>
      </c>
      <c r="J276" s="7">
        <v>121694135.81273438</v>
      </c>
    </row>
    <row r="277" spans="1:10" ht="13.8" outlineLevel="1" x14ac:dyDescent="0.3">
      <c r="A277" s="8">
        <v>275</v>
      </c>
      <c r="B277" s="9" t="s">
        <v>424</v>
      </c>
      <c r="C277" s="10" t="s">
        <v>172</v>
      </c>
      <c r="D277" s="9" t="s">
        <v>384</v>
      </c>
      <c r="E277" s="11">
        <v>13.370333333333333</v>
      </c>
      <c r="F277" s="7">
        <v>359670.69644999999</v>
      </c>
      <c r="G277" s="7">
        <v>296842.91000000003</v>
      </c>
      <c r="H277" s="7">
        <v>65551.08</v>
      </c>
      <c r="I277" s="7">
        <v>905411.53214955563</v>
      </c>
      <c r="J277" s="7">
        <v>12105653.988683607</v>
      </c>
    </row>
    <row r="278" spans="1:10" ht="13.8" outlineLevel="1" x14ac:dyDescent="0.3">
      <c r="A278" s="3"/>
      <c r="B278" s="4"/>
      <c r="C278" s="4" t="s">
        <v>173</v>
      </c>
      <c r="D278" s="4"/>
      <c r="E278" s="12"/>
      <c r="F278" s="13"/>
      <c r="G278" s="13"/>
      <c r="H278" s="13"/>
      <c r="I278" s="13"/>
      <c r="J278" s="13">
        <v>161280627694.27881</v>
      </c>
    </row>
    <row r="279" spans="1:10" ht="13.8" x14ac:dyDescent="0.3">
      <c r="A279" s="3"/>
      <c r="B279" s="4" t="s">
        <v>310</v>
      </c>
      <c r="C279" s="5" t="s">
        <v>174</v>
      </c>
      <c r="D279" s="4">
        <v>0</v>
      </c>
      <c r="E279" s="6">
        <v>0</v>
      </c>
      <c r="F279" s="7"/>
      <c r="G279" s="7"/>
      <c r="H279" s="7"/>
      <c r="I279" s="7"/>
      <c r="J279" s="7"/>
    </row>
    <row r="280" spans="1:10" ht="27.6" outlineLevel="1" x14ac:dyDescent="0.3">
      <c r="A280" s="8">
        <v>276</v>
      </c>
      <c r="B280" s="9" t="s">
        <v>425</v>
      </c>
      <c r="C280" s="10" t="s">
        <v>175</v>
      </c>
      <c r="D280" s="9" t="s">
        <v>325</v>
      </c>
      <c r="E280" s="11">
        <v>1.06</v>
      </c>
      <c r="F280" s="7">
        <v>1007898.8714025001</v>
      </c>
      <c r="G280" s="7">
        <v>1012685</v>
      </c>
      <c r="H280" s="7">
        <v>152454.46</v>
      </c>
      <c r="I280" s="7">
        <v>2724816.7677718056</v>
      </c>
      <c r="J280" s="7">
        <v>2888305.773838114</v>
      </c>
    </row>
    <row r="281" spans="1:10" ht="27.6" outlineLevel="1" x14ac:dyDescent="0.3">
      <c r="A281" s="8">
        <v>277</v>
      </c>
      <c r="B281" s="9" t="s">
        <v>358</v>
      </c>
      <c r="C281" s="10" t="s">
        <v>176</v>
      </c>
      <c r="D281" s="9" t="s">
        <v>342</v>
      </c>
      <c r="E281" s="11">
        <v>4.0820000000000002E-2</v>
      </c>
      <c r="F281" s="7">
        <v>12994917.369999999</v>
      </c>
      <c r="G281" s="7">
        <v>4357250</v>
      </c>
      <c r="H281" s="7">
        <v>191512.4154</v>
      </c>
      <c r="I281" s="7">
        <v>21998375.342428707</v>
      </c>
      <c r="J281" s="7">
        <v>897973.68147793983</v>
      </c>
    </row>
    <row r="282" spans="1:10" ht="27.6" outlineLevel="1" x14ac:dyDescent="0.3">
      <c r="A282" s="8">
        <v>278</v>
      </c>
      <c r="B282" s="9" t="s">
        <v>359</v>
      </c>
      <c r="C282" s="10" t="s">
        <v>177</v>
      </c>
      <c r="D282" s="9" t="s">
        <v>342</v>
      </c>
      <c r="E282" s="11">
        <v>0</v>
      </c>
      <c r="F282" s="7">
        <v>14450243.1</v>
      </c>
      <c r="G282" s="7">
        <v>2815684.9999999995</v>
      </c>
      <c r="H282" s="7">
        <v>707210.20272000018</v>
      </c>
      <c r="I282" s="7">
        <v>22536882.073831242</v>
      </c>
      <c r="J282" s="7">
        <v>0</v>
      </c>
    </row>
    <row r="283" spans="1:10" ht="27.6" outlineLevel="1" x14ac:dyDescent="0.3">
      <c r="A283" s="8">
        <v>279</v>
      </c>
      <c r="B283" s="9" t="s">
        <v>426</v>
      </c>
      <c r="C283" s="10" t="s">
        <v>178</v>
      </c>
      <c r="D283" s="9" t="s">
        <v>342</v>
      </c>
      <c r="E283" s="11">
        <v>0.6206799999999999</v>
      </c>
      <c r="F283" s="7">
        <v>14600248.549999999</v>
      </c>
      <c r="G283" s="7">
        <v>2340895</v>
      </c>
      <c r="H283" s="7">
        <v>808840.39356</v>
      </c>
      <c r="I283" s="7">
        <v>22257064.30400474</v>
      </c>
      <c r="J283" s="7">
        <v>13814514.67220966</v>
      </c>
    </row>
    <row r="284" spans="1:10" ht="13.8" outlineLevel="1" x14ac:dyDescent="0.3">
      <c r="A284" s="8">
        <v>280</v>
      </c>
      <c r="B284" s="9" t="s">
        <v>360</v>
      </c>
      <c r="C284" s="10" t="s">
        <v>179</v>
      </c>
      <c r="D284" s="9" t="s">
        <v>345</v>
      </c>
      <c r="E284" s="11">
        <v>8.48E-2</v>
      </c>
      <c r="F284" s="7">
        <v>2553370.7010000008</v>
      </c>
      <c r="G284" s="7">
        <v>9763195.9299999997</v>
      </c>
      <c r="H284" s="7">
        <v>716379.66</v>
      </c>
      <c r="I284" s="7">
        <v>16342275.271447293</v>
      </c>
      <c r="J284" s="7">
        <v>1385824.9430187305</v>
      </c>
    </row>
    <row r="285" spans="1:10" ht="27.6" outlineLevel="1" x14ac:dyDescent="0.3">
      <c r="A285" s="8">
        <v>281</v>
      </c>
      <c r="B285" s="9" t="s">
        <v>427</v>
      </c>
      <c r="C285" s="10" t="s">
        <v>180</v>
      </c>
      <c r="D285" s="9" t="s">
        <v>325</v>
      </c>
      <c r="E285" s="11">
        <v>1.18</v>
      </c>
      <c r="F285" s="7">
        <v>969502.72392050002</v>
      </c>
      <c r="G285" s="7">
        <v>802335</v>
      </c>
      <c r="H285" s="7">
        <v>90247.92</v>
      </c>
      <c r="I285" s="7">
        <v>2334906.8961462043</v>
      </c>
      <c r="J285" s="7">
        <v>2755190.1374525209</v>
      </c>
    </row>
    <row r="286" spans="1:10" ht="27.6" outlineLevel="1" x14ac:dyDescent="0.3">
      <c r="A286" s="8">
        <v>282</v>
      </c>
      <c r="B286" s="9" t="s">
        <v>361</v>
      </c>
      <c r="C286" s="10" t="s">
        <v>181</v>
      </c>
      <c r="D286" s="9" t="s">
        <v>342</v>
      </c>
      <c r="E286" s="11">
        <v>7.0599999999999996E-2</v>
      </c>
      <c r="F286" s="7">
        <v>12994917.369999999</v>
      </c>
      <c r="G286" s="7">
        <v>4729870</v>
      </c>
      <c r="H286" s="7">
        <v>191512.4154</v>
      </c>
      <c r="I286" s="7">
        <v>22465611.105983708</v>
      </c>
      <c r="J286" s="7">
        <v>1586072.1440824496</v>
      </c>
    </row>
    <row r="287" spans="1:10" ht="27.6" outlineLevel="1" x14ac:dyDescent="0.3">
      <c r="A287" s="8">
        <v>283</v>
      </c>
      <c r="B287" s="9" t="s">
        <v>362</v>
      </c>
      <c r="C287" s="10" t="s">
        <v>182</v>
      </c>
      <c r="D287" s="9" t="s">
        <v>342</v>
      </c>
      <c r="E287" s="11">
        <v>5.9080000000000001E-2</v>
      </c>
      <c r="F287" s="7">
        <v>14447952.18</v>
      </c>
      <c r="G287" s="7">
        <v>2878790</v>
      </c>
      <c r="H287" s="7">
        <v>694315.36884000001</v>
      </c>
      <c r="I287" s="7">
        <v>22596968.986905839</v>
      </c>
      <c r="J287" s="7">
        <v>1335028.927746397</v>
      </c>
    </row>
    <row r="288" spans="1:10" ht="27.6" outlineLevel="1" x14ac:dyDescent="0.3">
      <c r="A288" s="8">
        <v>284</v>
      </c>
      <c r="B288" s="9" t="s">
        <v>370</v>
      </c>
      <c r="C288" s="10" t="s">
        <v>183</v>
      </c>
      <c r="D288" s="9" t="s">
        <v>342</v>
      </c>
      <c r="E288" s="11">
        <v>0.45216000000000001</v>
      </c>
      <c r="F288" s="7">
        <v>14597193.99</v>
      </c>
      <c r="G288" s="7">
        <v>2425035</v>
      </c>
      <c r="H288" s="7">
        <v>792602.45459999994</v>
      </c>
      <c r="I288" s="7">
        <v>22338377.898720693</v>
      </c>
      <c r="J288" s="7">
        <v>10100520.95068555</v>
      </c>
    </row>
    <row r="289" spans="1:10" ht="13.8" outlineLevel="1" x14ac:dyDescent="0.3">
      <c r="A289" s="8">
        <v>285</v>
      </c>
      <c r="B289" s="9" t="s">
        <v>363</v>
      </c>
      <c r="C289" s="10" t="s">
        <v>184</v>
      </c>
      <c r="D289" s="9" t="s">
        <v>345</v>
      </c>
      <c r="E289" s="11">
        <v>4.7199999999999999E-2</v>
      </c>
      <c r="F289" s="7">
        <v>2174259.2235000003</v>
      </c>
      <c r="G289" s="7">
        <v>7502623</v>
      </c>
      <c r="H289" s="7">
        <v>716379.66</v>
      </c>
      <c r="I289" s="7">
        <v>13032321.539273791</v>
      </c>
      <c r="J289" s="7">
        <v>615125.57665372291</v>
      </c>
    </row>
    <row r="290" spans="1:10" ht="27.6" outlineLevel="1" x14ac:dyDescent="0.3">
      <c r="A290" s="8">
        <v>286</v>
      </c>
      <c r="B290" s="9" t="s">
        <v>428</v>
      </c>
      <c r="C290" s="10" t="s">
        <v>185</v>
      </c>
      <c r="D290" s="9" t="s">
        <v>325</v>
      </c>
      <c r="E290" s="11">
        <v>4.79</v>
      </c>
      <c r="F290" s="7">
        <v>969502.72392050002</v>
      </c>
      <c r="G290" s="7">
        <v>558930</v>
      </c>
      <c r="H290" s="7">
        <v>115482.97699999998</v>
      </c>
      <c r="I290" s="7">
        <v>2061339.1866771583</v>
      </c>
      <c r="J290" s="7">
        <v>9873814.7041835878</v>
      </c>
    </row>
    <row r="291" spans="1:10" ht="27.6" outlineLevel="1" x14ac:dyDescent="0.3">
      <c r="A291" s="8">
        <v>287</v>
      </c>
      <c r="B291" s="9" t="s">
        <v>429</v>
      </c>
      <c r="C291" s="10" t="s">
        <v>186</v>
      </c>
      <c r="D291" s="9" t="s">
        <v>342</v>
      </c>
      <c r="E291" s="11">
        <v>0.54488000000000003</v>
      </c>
      <c r="F291" s="7">
        <v>12994917.369999999</v>
      </c>
      <c r="G291" s="7">
        <v>4176950</v>
      </c>
      <c r="H291" s="7">
        <v>199765.06812000001</v>
      </c>
      <c r="I291" s="7">
        <v>21782641.689715534</v>
      </c>
      <c r="J291" s="7">
        <v>11868925.803892201</v>
      </c>
    </row>
    <row r="292" spans="1:10" ht="13.8" outlineLevel="1" x14ac:dyDescent="0.3">
      <c r="A292" s="8">
        <v>288</v>
      </c>
      <c r="B292" s="9" t="s">
        <v>355</v>
      </c>
      <c r="C292" s="10" t="s">
        <v>187</v>
      </c>
      <c r="D292" s="9" t="s">
        <v>345</v>
      </c>
      <c r="E292" s="11">
        <v>0.38319999999999999</v>
      </c>
      <c r="F292" s="7">
        <v>2001758.4615000002</v>
      </c>
      <c r="G292" s="7">
        <v>6524020</v>
      </c>
      <c r="H292" s="7">
        <v>716379.66</v>
      </c>
      <c r="I292" s="7">
        <v>11588929.22225081</v>
      </c>
      <c r="J292" s="7">
        <v>4440877.6779665099</v>
      </c>
    </row>
    <row r="293" spans="1:10" ht="27.6" outlineLevel="1" x14ac:dyDescent="0.3">
      <c r="A293" s="8">
        <v>289</v>
      </c>
      <c r="B293" s="9" t="s">
        <v>430</v>
      </c>
      <c r="C293" s="10" t="s">
        <v>188</v>
      </c>
      <c r="D293" s="9" t="s">
        <v>325</v>
      </c>
      <c r="E293" s="11">
        <v>0.3</v>
      </c>
      <c r="F293" s="7">
        <v>969502.72392050002</v>
      </c>
      <c r="G293" s="7">
        <v>799330</v>
      </c>
      <c r="H293" s="7">
        <v>115482.97699999998</v>
      </c>
      <c r="I293" s="7">
        <v>2362781.6147771585</v>
      </c>
      <c r="J293" s="7">
        <v>708834.48443314747</v>
      </c>
    </row>
    <row r="294" spans="1:10" ht="27.6" outlineLevel="1" x14ac:dyDescent="0.3">
      <c r="A294" s="8">
        <v>290</v>
      </c>
      <c r="B294" s="9" t="s">
        <v>431</v>
      </c>
      <c r="C294" s="10" t="s">
        <v>189</v>
      </c>
      <c r="D294" s="9" t="s">
        <v>342</v>
      </c>
      <c r="E294" s="11">
        <v>2.9159999999999998E-2</v>
      </c>
      <c r="F294" s="7">
        <v>12994917.369999999</v>
      </c>
      <c r="G294" s="7">
        <v>5646395</v>
      </c>
      <c r="H294" s="7">
        <v>191512.4154</v>
      </c>
      <c r="I294" s="7">
        <v>23614860.363114957</v>
      </c>
      <c r="J294" s="7">
        <v>688609.32818843215</v>
      </c>
    </row>
    <row r="295" spans="1:10" ht="27.6" outlineLevel="1" x14ac:dyDescent="0.3">
      <c r="A295" s="8">
        <v>291</v>
      </c>
      <c r="B295" s="9" t="s">
        <v>432</v>
      </c>
      <c r="C295" s="10" t="s">
        <v>190</v>
      </c>
      <c r="D295" s="9" t="s">
        <v>342</v>
      </c>
      <c r="E295" s="11">
        <v>6.2619999999999995E-2</v>
      </c>
      <c r="F295" s="7">
        <v>14446367.627</v>
      </c>
      <c r="G295" s="7">
        <v>4792975</v>
      </c>
      <c r="H295" s="7">
        <v>689539.50444000005</v>
      </c>
      <c r="I295" s="7">
        <v>24989228.864475776</v>
      </c>
      <c r="J295" s="7">
        <v>1564825.5114934728</v>
      </c>
    </row>
    <row r="296" spans="1:10" ht="13.8" outlineLevel="1" x14ac:dyDescent="0.3">
      <c r="A296" s="8">
        <v>292</v>
      </c>
      <c r="B296" s="9" t="s">
        <v>433</v>
      </c>
      <c r="C296" s="10" t="s">
        <v>191</v>
      </c>
      <c r="D296" s="9" t="s">
        <v>345</v>
      </c>
      <c r="E296" s="11">
        <v>2.4E-2</v>
      </c>
      <c r="F296" s="7">
        <v>6434692.3755000001</v>
      </c>
      <c r="G296" s="7">
        <v>8555235</v>
      </c>
      <c r="H296" s="7">
        <v>0</v>
      </c>
      <c r="I296" s="7">
        <v>18796173.482168805</v>
      </c>
      <c r="J296" s="7">
        <v>451108.16357205133</v>
      </c>
    </row>
    <row r="297" spans="1:10" ht="27.6" outlineLevel="1" x14ac:dyDescent="0.3">
      <c r="A297" s="8">
        <v>293</v>
      </c>
      <c r="B297" s="9" t="s">
        <v>434</v>
      </c>
      <c r="C297" s="10" t="s">
        <v>192</v>
      </c>
      <c r="D297" s="9" t="s">
        <v>325</v>
      </c>
      <c r="E297" s="11">
        <v>4.6539999999999999</v>
      </c>
      <c r="F297" s="7">
        <v>747397.25778640015</v>
      </c>
      <c r="G297" s="7">
        <v>465775</v>
      </c>
      <c r="H297" s="7">
        <v>54108.886439999995</v>
      </c>
      <c r="I297" s="7">
        <v>1589069.4891886536</v>
      </c>
      <c r="J297" s="7">
        <v>7395529.4026839938</v>
      </c>
    </row>
    <row r="298" spans="1:10" ht="27.6" outlineLevel="1" x14ac:dyDescent="0.3">
      <c r="A298" s="8">
        <v>294</v>
      </c>
      <c r="B298" s="9" t="s">
        <v>435</v>
      </c>
      <c r="C298" s="10" t="s">
        <v>193</v>
      </c>
      <c r="D298" s="9" t="s">
        <v>410</v>
      </c>
      <c r="E298" s="11">
        <v>0.28000000000000003</v>
      </c>
      <c r="F298" s="7">
        <v>10002678.587842001</v>
      </c>
      <c r="G298" s="7">
        <v>2310845</v>
      </c>
      <c r="H298" s="7">
        <v>0</v>
      </c>
      <c r="I298" s="7">
        <v>15440176.57564774</v>
      </c>
      <c r="J298" s="7">
        <v>4323249.4411813673</v>
      </c>
    </row>
    <row r="299" spans="1:10" ht="13.8" outlineLevel="1" x14ac:dyDescent="0.3">
      <c r="A299" s="8">
        <v>295</v>
      </c>
      <c r="B299" s="9" t="s">
        <v>385</v>
      </c>
      <c r="C299" s="10" t="s">
        <v>194</v>
      </c>
      <c r="D299" s="9" t="s">
        <v>387</v>
      </c>
      <c r="E299" s="11">
        <v>8</v>
      </c>
      <c r="F299" s="7">
        <v>150000</v>
      </c>
      <c r="G299" s="7">
        <v>0</v>
      </c>
      <c r="H299" s="7">
        <v>0</v>
      </c>
      <c r="I299" s="7">
        <v>188088.03750000001</v>
      </c>
      <c r="J299" s="7">
        <v>1504704.3</v>
      </c>
    </row>
    <row r="300" spans="1:10" ht="27.6" outlineLevel="1" x14ac:dyDescent="0.3">
      <c r="A300" s="8">
        <v>296</v>
      </c>
      <c r="B300" s="9" t="s">
        <v>436</v>
      </c>
      <c r="C300" s="10" t="s">
        <v>195</v>
      </c>
      <c r="D300" s="9" t="s">
        <v>384</v>
      </c>
      <c r="E300" s="11">
        <v>36.68</v>
      </c>
      <c r="F300" s="7">
        <v>14132.233619999999</v>
      </c>
      <c r="G300" s="7">
        <v>78130</v>
      </c>
      <c r="H300" s="7">
        <v>661.83400000000006</v>
      </c>
      <c r="I300" s="7">
        <v>116519.3701010873</v>
      </c>
      <c r="J300" s="7">
        <v>4273930.4953078823</v>
      </c>
    </row>
    <row r="301" spans="1:10" ht="27.6" outlineLevel="1" x14ac:dyDescent="0.3">
      <c r="A301" s="8">
        <v>297</v>
      </c>
      <c r="B301" s="9" t="s">
        <v>437</v>
      </c>
      <c r="C301" s="10" t="s">
        <v>196</v>
      </c>
      <c r="D301" s="9" t="s">
        <v>384</v>
      </c>
      <c r="E301" s="11">
        <v>36.68</v>
      </c>
      <c r="F301" s="7">
        <v>14132.233619999999</v>
      </c>
      <c r="G301" s="7">
        <v>60100</v>
      </c>
      <c r="H301" s="7">
        <v>661.83400000000006</v>
      </c>
      <c r="I301" s="7">
        <v>93911.1879935873</v>
      </c>
      <c r="J301" s="7">
        <v>3444662.3756047823</v>
      </c>
    </row>
    <row r="302" spans="1:10" ht="41.4" outlineLevel="1" x14ac:dyDescent="0.3">
      <c r="A302" s="8">
        <v>298</v>
      </c>
      <c r="B302" s="9" t="s">
        <v>438</v>
      </c>
      <c r="C302" s="10" t="s">
        <v>197</v>
      </c>
      <c r="D302" s="9" t="s">
        <v>384</v>
      </c>
      <c r="E302" s="11">
        <v>36.68</v>
      </c>
      <c r="F302" s="7">
        <v>19868.710910000002</v>
      </c>
      <c r="G302" s="7">
        <v>19833</v>
      </c>
      <c r="H302" s="7">
        <v>0</v>
      </c>
      <c r="I302" s="7">
        <v>49782.779269694925</v>
      </c>
      <c r="J302" s="7">
        <v>1826032.3436124099</v>
      </c>
    </row>
    <row r="303" spans="1:10" ht="41.4" outlineLevel="1" x14ac:dyDescent="0.3">
      <c r="A303" s="8">
        <v>299</v>
      </c>
      <c r="B303" s="9" t="s">
        <v>439</v>
      </c>
      <c r="C303" s="10" t="s">
        <v>198</v>
      </c>
      <c r="D303" s="9" t="s">
        <v>384</v>
      </c>
      <c r="E303" s="11">
        <v>36.68</v>
      </c>
      <c r="F303" s="7">
        <v>25357.803359999998</v>
      </c>
      <c r="G303" s="7">
        <v>21936.5</v>
      </c>
      <c r="H303" s="7">
        <v>0</v>
      </c>
      <c r="I303" s="7">
        <v>59303.284692747031</v>
      </c>
      <c r="J303" s="7">
        <v>2175244.482529961</v>
      </c>
    </row>
    <row r="304" spans="1:10" ht="27.6" outlineLevel="1" x14ac:dyDescent="0.3">
      <c r="A304" s="8">
        <v>300</v>
      </c>
      <c r="B304" s="9" t="s">
        <v>440</v>
      </c>
      <c r="C304" s="10" t="s">
        <v>199</v>
      </c>
      <c r="D304" s="9" t="s">
        <v>345</v>
      </c>
      <c r="E304" s="11">
        <v>26.62</v>
      </c>
      <c r="F304" s="7">
        <v>12138697</v>
      </c>
      <c r="G304" s="7">
        <v>1923200</v>
      </c>
      <c r="H304" s="7">
        <v>0</v>
      </c>
      <c r="I304" s="7">
        <v>17632497.40171425</v>
      </c>
      <c r="J304" s="7">
        <v>469377080.83363336</v>
      </c>
    </row>
    <row r="305" spans="1:10" ht="13.8" outlineLevel="1" x14ac:dyDescent="0.3">
      <c r="A305" s="8">
        <v>301</v>
      </c>
      <c r="B305" s="9" t="s">
        <v>385</v>
      </c>
      <c r="C305" s="10" t="s">
        <v>200</v>
      </c>
      <c r="D305" s="9" t="s">
        <v>384</v>
      </c>
      <c r="E305" s="11">
        <v>16.8</v>
      </c>
      <c r="F305" s="7">
        <v>2500000</v>
      </c>
      <c r="G305" s="7">
        <v>0</v>
      </c>
      <c r="H305" s="7">
        <v>0</v>
      </c>
      <c r="I305" s="7">
        <v>3134800.625</v>
      </c>
      <c r="J305" s="7">
        <v>52664650.5</v>
      </c>
    </row>
    <row r="306" spans="1:10" ht="13.8" outlineLevel="1" x14ac:dyDescent="0.3">
      <c r="A306" s="8">
        <v>302</v>
      </c>
      <c r="B306" s="9" t="s">
        <v>385</v>
      </c>
      <c r="C306" s="10" t="s">
        <v>201</v>
      </c>
      <c r="D306" s="9" t="s">
        <v>384</v>
      </c>
      <c r="E306" s="11">
        <v>8.9599999999999991</v>
      </c>
      <c r="F306" s="7">
        <v>4500000</v>
      </c>
      <c r="G306" s="7">
        <v>0</v>
      </c>
      <c r="H306" s="7">
        <v>0</v>
      </c>
      <c r="I306" s="7">
        <v>5642641.125</v>
      </c>
      <c r="J306" s="7">
        <v>50558064.479999997</v>
      </c>
    </row>
    <row r="307" spans="1:10" ht="13.8" outlineLevel="1" x14ac:dyDescent="0.3">
      <c r="A307" s="8">
        <v>303</v>
      </c>
      <c r="B307" s="9" t="s">
        <v>441</v>
      </c>
      <c r="C307" s="10" t="s">
        <v>202</v>
      </c>
      <c r="D307" s="9" t="s">
        <v>384</v>
      </c>
      <c r="E307" s="11">
        <v>8.9599999999999991</v>
      </c>
      <c r="F307" s="7">
        <v>9714.2000000000007</v>
      </c>
      <c r="G307" s="7">
        <v>153314.47</v>
      </c>
      <c r="H307" s="7">
        <v>32775.54</v>
      </c>
      <c r="I307" s="7">
        <v>245522.86395425253</v>
      </c>
      <c r="J307" s="7">
        <v>2199884.8610301027</v>
      </c>
    </row>
    <row r="308" spans="1:10" ht="13.8" outlineLevel="1" x14ac:dyDescent="0.3">
      <c r="A308" s="8">
        <v>304</v>
      </c>
      <c r="B308" s="9" t="s">
        <v>442</v>
      </c>
      <c r="C308" s="10" t="s">
        <v>203</v>
      </c>
      <c r="D308" s="9" t="s">
        <v>342</v>
      </c>
      <c r="E308" s="11">
        <v>16.8</v>
      </c>
      <c r="F308" s="7">
        <v>14231627.697900001</v>
      </c>
      <c r="G308" s="7">
        <v>6210867.04</v>
      </c>
      <c r="H308" s="7">
        <v>2003135.6866000001</v>
      </c>
      <c r="I308" s="7">
        <v>28145030.513296649</v>
      </c>
      <c r="J308" s="7">
        <v>472836512.6233837</v>
      </c>
    </row>
    <row r="309" spans="1:10" ht="13.8" outlineLevel="1" x14ac:dyDescent="0.3">
      <c r="A309" s="8">
        <v>305</v>
      </c>
      <c r="B309" s="9" t="s">
        <v>443</v>
      </c>
      <c r="C309" s="10" t="s">
        <v>204</v>
      </c>
      <c r="D309" s="9" t="s">
        <v>384</v>
      </c>
      <c r="E309" s="11">
        <v>16.8</v>
      </c>
      <c r="F309" s="7">
        <v>5966.6998922999992</v>
      </c>
      <c r="G309" s="7">
        <v>65240.200000000004</v>
      </c>
      <c r="H309" s="7">
        <v>0</v>
      </c>
      <c r="I309" s="7">
        <v>89287.773714677794</v>
      </c>
      <c r="J309" s="7">
        <v>1500034.598406587</v>
      </c>
    </row>
    <row r="310" spans="1:10" ht="27.6" outlineLevel="1" x14ac:dyDescent="0.3">
      <c r="A310" s="8">
        <v>306</v>
      </c>
      <c r="B310" s="9" t="s">
        <v>444</v>
      </c>
      <c r="C310" s="10" t="s">
        <v>205</v>
      </c>
      <c r="D310" s="9" t="s">
        <v>384</v>
      </c>
      <c r="E310" s="11">
        <v>14.32</v>
      </c>
      <c r="F310" s="7">
        <v>27729.55</v>
      </c>
      <c r="G310" s="7">
        <v>28247</v>
      </c>
      <c r="H310" s="7">
        <v>0</v>
      </c>
      <c r="I310" s="7">
        <v>70190.129570137506</v>
      </c>
      <c r="J310" s="7">
        <v>1005122.6554443691</v>
      </c>
    </row>
    <row r="311" spans="1:10" ht="13.8" outlineLevel="1" x14ac:dyDescent="0.3">
      <c r="A311" s="8">
        <v>307</v>
      </c>
      <c r="B311" s="9" t="s">
        <v>445</v>
      </c>
      <c r="C311" s="10" t="s">
        <v>206</v>
      </c>
      <c r="D311" s="9" t="s">
        <v>342</v>
      </c>
      <c r="E311" s="11">
        <v>0.25425999999999999</v>
      </c>
      <c r="F311" s="7">
        <v>14513566.2171</v>
      </c>
      <c r="G311" s="7">
        <v>1833249.62</v>
      </c>
      <c r="H311" s="7">
        <v>0</v>
      </c>
      <c r="I311" s="7">
        <v>20497603.401160393</v>
      </c>
      <c r="J311" s="7">
        <v>5211720.6407790408</v>
      </c>
    </row>
    <row r="312" spans="1:10" ht="13.8" outlineLevel="1" x14ac:dyDescent="0.3">
      <c r="A312" s="8">
        <v>308</v>
      </c>
      <c r="B312" s="9" t="s">
        <v>446</v>
      </c>
      <c r="C312" s="10" t="s">
        <v>207</v>
      </c>
      <c r="D312" s="9" t="s">
        <v>342</v>
      </c>
      <c r="E312" s="11">
        <v>0.25425999999999999</v>
      </c>
      <c r="F312" s="7">
        <v>360221.24700000003</v>
      </c>
      <c r="G312" s="7">
        <v>890528.73</v>
      </c>
      <c r="H312" s="7">
        <v>1666502.368</v>
      </c>
      <c r="I312" s="7">
        <v>3658001.789755486</v>
      </c>
      <c r="J312" s="7">
        <v>930083.53506322985</v>
      </c>
    </row>
    <row r="313" spans="1:10" ht="13.8" outlineLevel="1" x14ac:dyDescent="0.3">
      <c r="A313" s="8">
        <v>309</v>
      </c>
      <c r="B313" s="9" t="s">
        <v>447</v>
      </c>
      <c r="C313" s="10" t="s">
        <v>208</v>
      </c>
      <c r="D313" s="9" t="s">
        <v>342</v>
      </c>
      <c r="E313" s="11">
        <v>0.25172</v>
      </c>
      <c r="F313" s="7">
        <v>14695715.899999999</v>
      </c>
      <c r="G313" s="7">
        <v>8791116.9499999993</v>
      </c>
      <c r="H313" s="7">
        <v>5536344.1082000006</v>
      </c>
      <c r="I313" s="7">
        <v>36392749.307220384</v>
      </c>
      <c r="J313" s="7">
        <v>9160782.8556135148</v>
      </c>
    </row>
    <row r="314" spans="1:10" ht="13.8" outlineLevel="1" x14ac:dyDescent="0.3">
      <c r="A314" s="3"/>
      <c r="B314" s="4"/>
      <c r="C314" s="4" t="s">
        <v>209</v>
      </c>
      <c r="D314" s="4"/>
      <c r="E314" s="12"/>
      <c r="F314" s="13"/>
      <c r="G314" s="13"/>
      <c r="H314" s="13"/>
      <c r="I314" s="13"/>
      <c r="J314" s="13">
        <v>1155362842.9051688</v>
      </c>
    </row>
    <row r="315" spans="1:10" ht="13.8" x14ac:dyDescent="0.3">
      <c r="A315" s="3"/>
      <c r="B315" s="4" t="s">
        <v>310</v>
      </c>
      <c r="C315" s="5" t="s">
        <v>210</v>
      </c>
      <c r="D315" s="4">
        <v>0</v>
      </c>
      <c r="E315" s="6">
        <v>0</v>
      </c>
      <c r="F315" s="7"/>
      <c r="G315" s="7"/>
      <c r="H315" s="7"/>
      <c r="I315" s="7"/>
      <c r="J315" s="7"/>
    </row>
    <row r="316" spans="1:10" ht="27.6" outlineLevel="1" x14ac:dyDescent="0.3">
      <c r="A316" s="8">
        <v>310</v>
      </c>
      <c r="B316" s="9" t="s">
        <v>425</v>
      </c>
      <c r="C316" s="10" t="s">
        <v>175</v>
      </c>
      <c r="D316" s="9" t="s">
        <v>325</v>
      </c>
      <c r="E316" s="11">
        <v>4.26</v>
      </c>
      <c r="F316" s="7">
        <v>1007898.8714025001</v>
      </c>
      <c r="G316" s="7">
        <v>1012685</v>
      </c>
      <c r="H316" s="7">
        <v>152454.46</v>
      </c>
      <c r="I316" s="7">
        <v>2724816.7677718056</v>
      </c>
      <c r="J316" s="7">
        <v>11607719.430707891</v>
      </c>
    </row>
    <row r="317" spans="1:10" ht="27.6" outlineLevel="1" x14ac:dyDescent="0.3">
      <c r="A317" s="8">
        <v>311</v>
      </c>
      <c r="B317" s="9" t="s">
        <v>358</v>
      </c>
      <c r="C317" s="10" t="s">
        <v>176</v>
      </c>
      <c r="D317" s="9" t="s">
        <v>342</v>
      </c>
      <c r="E317" s="11">
        <v>0.13894999999999999</v>
      </c>
      <c r="F317" s="7">
        <v>12994917.369999999</v>
      </c>
      <c r="G317" s="7">
        <v>4357250</v>
      </c>
      <c r="H317" s="7">
        <v>191512.4154</v>
      </c>
      <c r="I317" s="7">
        <v>21998375.342428707</v>
      </c>
      <c r="J317" s="7">
        <v>3056674.2538304687</v>
      </c>
    </row>
    <row r="318" spans="1:10" ht="27.6" outlineLevel="1" x14ac:dyDescent="0.3">
      <c r="A318" s="8">
        <v>312</v>
      </c>
      <c r="B318" s="9" t="s">
        <v>359</v>
      </c>
      <c r="C318" s="10" t="s">
        <v>177</v>
      </c>
      <c r="D318" s="9" t="s">
        <v>342</v>
      </c>
      <c r="E318" s="11">
        <v>0</v>
      </c>
      <c r="F318" s="7">
        <v>14450243.1</v>
      </c>
      <c r="G318" s="7">
        <v>2815684.9999999995</v>
      </c>
      <c r="H318" s="7">
        <v>707210.20272000018</v>
      </c>
      <c r="I318" s="7">
        <v>22536882.073831242</v>
      </c>
      <c r="J318" s="7">
        <v>0</v>
      </c>
    </row>
    <row r="319" spans="1:10" ht="27.6" outlineLevel="1" x14ac:dyDescent="0.3">
      <c r="A319" s="8">
        <v>313</v>
      </c>
      <c r="B319" s="9" t="s">
        <v>426</v>
      </c>
      <c r="C319" s="10" t="s">
        <v>178</v>
      </c>
      <c r="D319" s="9" t="s">
        <v>342</v>
      </c>
      <c r="E319" s="11">
        <v>0.80854999999999999</v>
      </c>
      <c r="F319" s="7">
        <v>14600248.549999999</v>
      </c>
      <c r="G319" s="7">
        <v>2340895</v>
      </c>
      <c r="H319" s="7">
        <v>808840.39356</v>
      </c>
      <c r="I319" s="7">
        <v>22257064.30400474</v>
      </c>
      <c r="J319" s="7">
        <v>17995949.343003031</v>
      </c>
    </row>
    <row r="320" spans="1:10" ht="13.8" outlineLevel="1" x14ac:dyDescent="0.3">
      <c r="A320" s="8">
        <v>314</v>
      </c>
      <c r="B320" s="9" t="s">
        <v>360</v>
      </c>
      <c r="C320" s="10" t="s">
        <v>179</v>
      </c>
      <c r="D320" s="9" t="s">
        <v>345</v>
      </c>
      <c r="E320" s="11">
        <v>0.34079999999999999</v>
      </c>
      <c r="F320" s="7">
        <v>2553370.7010000008</v>
      </c>
      <c r="G320" s="7">
        <v>9763195.9299999997</v>
      </c>
      <c r="H320" s="7">
        <v>716379.66</v>
      </c>
      <c r="I320" s="7">
        <v>16342275.271447293</v>
      </c>
      <c r="J320" s="7">
        <v>5569447.4125092374</v>
      </c>
    </row>
    <row r="321" spans="1:10" ht="27.6" outlineLevel="1" x14ac:dyDescent="0.3">
      <c r="A321" s="8">
        <v>315</v>
      </c>
      <c r="B321" s="9" t="s">
        <v>427</v>
      </c>
      <c r="C321" s="10" t="s">
        <v>180</v>
      </c>
      <c r="D321" s="9" t="s">
        <v>325</v>
      </c>
      <c r="E321" s="11">
        <v>5.31</v>
      </c>
      <c r="F321" s="7">
        <v>969502.72392050002</v>
      </c>
      <c r="G321" s="7">
        <v>802335</v>
      </c>
      <c r="H321" s="7">
        <v>90247.92</v>
      </c>
      <c r="I321" s="7">
        <v>2334906.8961462043</v>
      </c>
      <c r="J321" s="7">
        <v>12398355.618536344</v>
      </c>
    </row>
    <row r="322" spans="1:10" ht="27.6" outlineLevel="1" x14ac:dyDescent="0.3">
      <c r="A322" s="8">
        <v>316</v>
      </c>
      <c r="B322" s="9" t="s">
        <v>361</v>
      </c>
      <c r="C322" s="10" t="s">
        <v>181</v>
      </c>
      <c r="D322" s="9" t="s">
        <v>342</v>
      </c>
      <c r="E322" s="11">
        <v>7.0599999999999996E-2</v>
      </c>
      <c r="F322" s="7">
        <v>12994917.369999999</v>
      </c>
      <c r="G322" s="7">
        <v>4729870</v>
      </c>
      <c r="H322" s="7">
        <v>191512.4154</v>
      </c>
      <c r="I322" s="7">
        <v>22465611.105983708</v>
      </c>
      <c r="J322" s="7">
        <v>1586072.1440824496</v>
      </c>
    </row>
    <row r="323" spans="1:10" ht="27.6" outlineLevel="1" x14ac:dyDescent="0.3">
      <c r="A323" s="8">
        <v>317</v>
      </c>
      <c r="B323" s="9" t="s">
        <v>362</v>
      </c>
      <c r="C323" s="10" t="s">
        <v>182</v>
      </c>
      <c r="D323" s="9" t="s">
        <v>342</v>
      </c>
      <c r="E323" s="11">
        <v>1.16272</v>
      </c>
      <c r="F323" s="7">
        <v>14447952.18</v>
      </c>
      <c r="G323" s="7">
        <v>2878790</v>
      </c>
      <c r="H323" s="7">
        <v>694315.36884000001</v>
      </c>
      <c r="I323" s="7">
        <v>22596968.986905839</v>
      </c>
      <c r="J323" s="7">
        <v>26273947.780455157</v>
      </c>
    </row>
    <row r="324" spans="1:10" ht="27.6" outlineLevel="1" x14ac:dyDescent="0.3">
      <c r="A324" s="8">
        <v>318</v>
      </c>
      <c r="B324" s="9" t="s">
        <v>370</v>
      </c>
      <c r="C324" s="10" t="s">
        <v>183</v>
      </c>
      <c r="D324" s="9" t="s">
        <v>342</v>
      </c>
      <c r="E324" s="11">
        <v>0.41127999999999998</v>
      </c>
      <c r="F324" s="7">
        <v>14597193.99</v>
      </c>
      <c r="G324" s="7">
        <v>2425035</v>
      </c>
      <c r="H324" s="7">
        <v>792602.45459999994</v>
      </c>
      <c r="I324" s="7">
        <v>22338377.898720693</v>
      </c>
      <c r="J324" s="7">
        <v>9187328.0621858463</v>
      </c>
    </row>
    <row r="325" spans="1:10" ht="13.8" outlineLevel="1" x14ac:dyDescent="0.3">
      <c r="A325" s="8">
        <v>319</v>
      </c>
      <c r="B325" s="9" t="s">
        <v>363</v>
      </c>
      <c r="C325" s="10" t="s">
        <v>184</v>
      </c>
      <c r="D325" s="9" t="s">
        <v>345</v>
      </c>
      <c r="E325" s="11">
        <v>0.21239999999999998</v>
      </c>
      <c r="F325" s="7">
        <v>2174259.2235000003</v>
      </c>
      <c r="G325" s="7">
        <v>7502623</v>
      </c>
      <c r="H325" s="7">
        <v>716379.66</v>
      </c>
      <c r="I325" s="7">
        <v>13032321.539273791</v>
      </c>
      <c r="J325" s="7">
        <v>2768065.094941753</v>
      </c>
    </row>
    <row r="326" spans="1:10" ht="27.6" outlineLevel="1" x14ac:dyDescent="0.3">
      <c r="A326" s="8">
        <v>320</v>
      </c>
      <c r="B326" s="9" t="s">
        <v>428</v>
      </c>
      <c r="C326" s="10" t="s">
        <v>185</v>
      </c>
      <c r="D326" s="9" t="s">
        <v>325</v>
      </c>
      <c r="E326" s="11">
        <v>6.43</v>
      </c>
      <c r="F326" s="7">
        <v>969502.72392050002</v>
      </c>
      <c r="G326" s="7">
        <v>558930</v>
      </c>
      <c r="H326" s="7">
        <v>115482.97699999998</v>
      </c>
      <c r="I326" s="7">
        <v>2061339.1866771583</v>
      </c>
      <c r="J326" s="7">
        <v>13254410.970334128</v>
      </c>
    </row>
    <row r="327" spans="1:10" ht="27.6" outlineLevel="1" x14ac:dyDescent="0.3">
      <c r="A327" s="8">
        <v>321</v>
      </c>
      <c r="B327" s="9" t="s">
        <v>429</v>
      </c>
      <c r="C327" s="10" t="s">
        <v>186</v>
      </c>
      <c r="D327" s="9" t="s">
        <v>342</v>
      </c>
      <c r="E327" s="11">
        <v>0.48333999999999999</v>
      </c>
      <c r="F327" s="7">
        <v>12994917.369999999</v>
      </c>
      <c r="G327" s="7">
        <v>4176950</v>
      </c>
      <c r="H327" s="7">
        <v>199765.06812000001</v>
      </c>
      <c r="I327" s="7">
        <v>21782641.689715534</v>
      </c>
      <c r="J327" s="7">
        <v>10528422.034307105</v>
      </c>
    </row>
    <row r="328" spans="1:10" ht="13.8" outlineLevel="1" x14ac:dyDescent="0.3">
      <c r="A328" s="8">
        <v>322</v>
      </c>
      <c r="B328" s="9" t="s">
        <v>355</v>
      </c>
      <c r="C328" s="10" t="s">
        <v>187</v>
      </c>
      <c r="D328" s="9" t="s">
        <v>345</v>
      </c>
      <c r="E328" s="11">
        <v>0.51439999999999997</v>
      </c>
      <c r="F328" s="7">
        <v>2001758.4615000002</v>
      </c>
      <c r="G328" s="7">
        <v>6524020</v>
      </c>
      <c r="H328" s="7">
        <v>716379.66</v>
      </c>
      <c r="I328" s="7">
        <v>11588929.22225081</v>
      </c>
      <c r="J328" s="7">
        <v>5961345.1919258162</v>
      </c>
    </row>
    <row r="329" spans="1:10" ht="27.6" outlineLevel="1" x14ac:dyDescent="0.3">
      <c r="A329" s="8">
        <v>323</v>
      </c>
      <c r="B329" s="9" t="s">
        <v>430</v>
      </c>
      <c r="C329" s="10" t="s">
        <v>188</v>
      </c>
      <c r="D329" s="9" t="s">
        <v>325</v>
      </c>
      <c r="E329" s="11">
        <v>4.03</v>
      </c>
      <c r="F329" s="7">
        <v>969502.72392050002</v>
      </c>
      <c r="G329" s="7">
        <v>799330</v>
      </c>
      <c r="H329" s="7">
        <v>115482.97699999998</v>
      </c>
      <c r="I329" s="7">
        <v>2362781.6147771585</v>
      </c>
      <c r="J329" s="7">
        <v>9522009.9075519498</v>
      </c>
    </row>
    <row r="330" spans="1:10" ht="27.6" outlineLevel="1" x14ac:dyDescent="0.3">
      <c r="A330" s="8">
        <v>324</v>
      </c>
      <c r="B330" s="9" t="s">
        <v>431</v>
      </c>
      <c r="C330" s="10" t="s">
        <v>189</v>
      </c>
      <c r="D330" s="9" t="s">
        <v>342</v>
      </c>
      <c r="E330" s="11">
        <v>0</v>
      </c>
      <c r="F330" s="7">
        <v>12994917.369999999</v>
      </c>
      <c r="G330" s="7">
        <v>5646395</v>
      </c>
      <c r="H330" s="7">
        <v>191512.4154</v>
      </c>
      <c r="I330" s="7">
        <v>23614860.363114957</v>
      </c>
      <c r="J330" s="7">
        <v>0</v>
      </c>
    </row>
    <row r="331" spans="1:10" ht="27.6" outlineLevel="1" x14ac:dyDescent="0.3">
      <c r="A331" s="8">
        <v>325</v>
      </c>
      <c r="B331" s="9" t="s">
        <v>432</v>
      </c>
      <c r="C331" s="10" t="s">
        <v>190</v>
      </c>
      <c r="D331" s="9" t="s">
        <v>342</v>
      </c>
      <c r="E331" s="11">
        <v>0.49825999999999998</v>
      </c>
      <c r="F331" s="7">
        <v>14446367.627</v>
      </c>
      <c r="G331" s="7">
        <v>4792975</v>
      </c>
      <c r="H331" s="7">
        <v>689539.50444000005</v>
      </c>
      <c r="I331" s="7">
        <v>24989228.864475776</v>
      </c>
      <c r="J331" s="7">
        <v>12451133.1740137</v>
      </c>
    </row>
    <row r="332" spans="1:10" ht="13.8" outlineLevel="1" x14ac:dyDescent="0.3">
      <c r="A332" s="8">
        <v>326</v>
      </c>
      <c r="B332" s="9" t="s">
        <v>433</v>
      </c>
      <c r="C332" s="10" t="s">
        <v>191</v>
      </c>
      <c r="D332" s="9" t="s">
        <v>345</v>
      </c>
      <c r="E332" s="11">
        <v>0.32240000000000002</v>
      </c>
      <c r="F332" s="7">
        <v>6434692.3755000001</v>
      </c>
      <c r="G332" s="7">
        <v>8555235</v>
      </c>
      <c r="H332" s="7">
        <v>0</v>
      </c>
      <c r="I332" s="7">
        <v>18796173.482168805</v>
      </c>
      <c r="J332" s="7">
        <v>6059886.3306512227</v>
      </c>
    </row>
    <row r="333" spans="1:10" ht="27.6" outlineLevel="1" x14ac:dyDescent="0.3">
      <c r="A333" s="8">
        <v>327</v>
      </c>
      <c r="B333" s="9" t="s">
        <v>434</v>
      </c>
      <c r="C333" s="10" t="s">
        <v>192</v>
      </c>
      <c r="D333" s="9" t="s">
        <v>325</v>
      </c>
      <c r="E333" s="11">
        <v>11.12</v>
      </c>
      <c r="F333" s="7">
        <v>747397.25778640015</v>
      </c>
      <c r="G333" s="7">
        <v>465775</v>
      </c>
      <c r="H333" s="7">
        <v>54108.886439999995</v>
      </c>
      <c r="I333" s="7">
        <v>1589069.4891886536</v>
      </c>
      <c r="J333" s="7">
        <v>17670452.719777826</v>
      </c>
    </row>
    <row r="334" spans="1:10" ht="13.8" outlineLevel="1" x14ac:dyDescent="0.3">
      <c r="A334" s="8">
        <v>328</v>
      </c>
      <c r="B334" s="9" t="s">
        <v>448</v>
      </c>
      <c r="C334" s="10" t="s">
        <v>211</v>
      </c>
      <c r="D334" s="9" t="s">
        <v>384</v>
      </c>
      <c r="E334" s="11">
        <v>20.149999999999999</v>
      </c>
      <c r="F334" s="7">
        <v>147087.81944625001</v>
      </c>
      <c r="G334" s="7">
        <v>45668.140000000007</v>
      </c>
      <c r="H334" s="7">
        <v>1155.48</v>
      </c>
      <c r="I334" s="7">
        <v>243149.48062830174</v>
      </c>
      <c r="J334" s="7">
        <v>4899462.0346602798</v>
      </c>
    </row>
    <row r="335" spans="1:10" ht="27.6" outlineLevel="1" x14ac:dyDescent="0.3">
      <c r="A335" s="8">
        <v>329</v>
      </c>
      <c r="B335" s="9" t="s">
        <v>449</v>
      </c>
      <c r="C335" s="10" t="s">
        <v>212</v>
      </c>
      <c r="D335" s="9" t="s">
        <v>384</v>
      </c>
      <c r="E335" s="11">
        <v>7.21</v>
      </c>
      <c r="F335" s="7">
        <v>297849.29309099994</v>
      </c>
      <c r="G335" s="7">
        <v>177295</v>
      </c>
      <c r="H335" s="7">
        <v>0</v>
      </c>
      <c r="I335" s="7">
        <v>595793.05077873997</v>
      </c>
      <c r="J335" s="7">
        <v>4295667.8961147154</v>
      </c>
    </row>
    <row r="336" spans="1:10" ht="13.8" outlineLevel="1" x14ac:dyDescent="0.3">
      <c r="A336" s="8">
        <v>330</v>
      </c>
      <c r="B336" s="9" t="s">
        <v>450</v>
      </c>
      <c r="C336" s="10" t="s">
        <v>213</v>
      </c>
      <c r="D336" s="9" t="s">
        <v>345</v>
      </c>
      <c r="E336" s="11">
        <v>0.97239999999999993</v>
      </c>
      <c r="F336" s="7">
        <v>28373189.91</v>
      </c>
      <c r="G336" s="7">
        <v>3764746.3</v>
      </c>
      <c r="H336" s="7">
        <v>303335.34399999998</v>
      </c>
      <c r="I336" s="7">
        <v>40678767.337309569</v>
      </c>
      <c r="J336" s="7">
        <v>39556033.358799823</v>
      </c>
    </row>
    <row r="337" spans="1:10" ht="13.8" outlineLevel="1" x14ac:dyDescent="0.3">
      <c r="A337" s="8">
        <v>331</v>
      </c>
      <c r="B337" s="9" t="s">
        <v>451</v>
      </c>
      <c r="C337" s="10" t="s">
        <v>214</v>
      </c>
      <c r="D337" s="9" t="s">
        <v>345</v>
      </c>
      <c r="E337" s="11">
        <v>2.1800000000000002</v>
      </c>
      <c r="F337" s="7">
        <v>28523722.43</v>
      </c>
      <c r="G337" s="7">
        <v>3083244.7800000003</v>
      </c>
      <c r="H337" s="7">
        <v>303335.34399999998</v>
      </c>
      <c r="I337" s="7">
        <v>40012974.556087323</v>
      </c>
      <c r="J337" s="7">
        <v>87228284.532270372</v>
      </c>
    </row>
    <row r="338" spans="1:10" ht="27.6" outlineLevel="1" x14ac:dyDescent="0.3">
      <c r="A338" s="8">
        <v>332</v>
      </c>
      <c r="B338" s="9" t="s">
        <v>436</v>
      </c>
      <c r="C338" s="10" t="s">
        <v>195</v>
      </c>
      <c r="D338" s="9" t="s">
        <v>384</v>
      </c>
      <c r="E338" s="11">
        <v>72.665000000000006</v>
      </c>
      <c r="F338" s="7">
        <v>14132.233619999999</v>
      </c>
      <c r="G338" s="7">
        <v>78130</v>
      </c>
      <c r="H338" s="7">
        <v>661.83400000000006</v>
      </c>
      <c r="I338" s="7">
        <v>116519.3701010873</v>
      </c>
      <c r="J338" s="7">
        <v>8466880.0283955093</v>
      </c>
    </row>
    <row r="339" spans="1:10" ht="27.6" outlineLevel="1" x14ac:dyDescent="0.3">
      <c r="A339" s="8">
        <v>333</v>
      </c>
      <c r="B339" s="9" t="s">
        <v>437</v>
      </c>
      <c r="C339" s="10" t="s">
        <v>196</v>
      </c>
      <c r="D339" s="9" t="s">
        <v>384</v>
      </c>
      <c r="E339" s="11">
        <v>72.665000000000006</v>
      </c>
      <c r="F339" s="7">
        <v>14132.233619999999</v>
      </c>
      <c r="G339" s="7">
        <v>60100</v>
      </c>
      <c r="H339" s="7">
        <v>661.83400000000006</v>
      </c>
      <c r="I339" s="7">
        <v>93911.1879935873</v>
      </c>
      <c r="J339" s="7">
        <v>6824056.475554022</v>
      </c>
    </row>
    <row r="340" spans="1:10" ht="27.6" outlineLevel="1" x14ac:dyDescent="0.3">
      <c r="A340" s="8">
        <v>334</v>
      </c>
      <c r="B340" s="9" t="s">
        <v>452</v>
      </c>
      <c r="C340" s="10" t="s">
        <v>215</v>
      </c>
      <c r="D340" s="9" t="s">
        <v>384</v>
      </c>
      <c r="E340" s="11">
        <v>31</v>
      </c>
      <c r="F340" s="7">
        <v>26320.466174999998</v>
      </c>
      <c r="G340" s="7">
        <v>22181.668000000001</v>
      </c>
      <c r="H340" s="7">
        <v>1323.6680000000001</v>
      </c>
      <c r="I340" s="7">
        <v>62477.582319726534</v>
      </c>
      <c r="J340" s="7">
        <v>1936805.0519115226</v>
      </c>
    </row>
    <row r="341" spans="1:10" ht="13.8" outlineLevel="1" x14ac:dyDescent="0.3">
      <c r="A341" s="8">
        <v>335</v>
      </c>
      <c r="B341" s="9" t="s">
        <v>453</v>
      </c>
      <c r="C341" s="10" t="s">
        <v>216</v>
      </c>
      <c r="D341" s="9" t="s">
        <v>384</v>
      </c>
      <c r="E341" s="11">
        <v>100.22000000000001</v>
      </c>
      <c r="F341" s="7">
        <v>4788.915</v>
      </c>
      <c r="G341" s="7">
        <v>27045</v>
      </c>
      <c r="H341" s="7">
        <v>0</v>
      </c>
      <c r="I341" s="7">
        <v>39917.190655278755</v>
      </c>
      <c r="J341" s="7">
        <v>4000500.8474720372</v>
      </c>
    </row>
    <row r="342" spans="1:10" ht="13.8" outlineLevel="1" x14ac:dyDescent="0.3">
      <c r="A342" s="8">
        <v>336</v>
      </c>
      <c r="B342" s="9" t="s">
        <v>454</v>
      </c>
      <c r="C342" s="10" t="s">
        <v>217</v>
      </c>
      <c r="D342" s="9" t="s">
        <v>384</v>
      </c>
      <c r="E342" s="11">
        <v>45.11</v>
      </c>
      <c r="F342" s="7">
        <v>4788.915</v>
      </c>
      <c r="G342" s="7">
        <v>33055</v>
      </c>
      <c r="H342" s="7">
        <v>0</v>
      </c>
      <c r="I342" s="7">
        <v>47453.251357778747</v>
      </c>
      <c r="J342" s="7">
        <v>2140616.168749399</v>
      </c>
    </row>
    <row r="343" spans="1:10" ht="13.8" outlineLevel="1" x14ac:dyDescent="0.3">
      <c r="A343" s="8">
        <v>337</v>
      </c>
      <c r="B343" s="9" t="s">
        <v>385</v>
      </c>
      <c r="C343" s="10" t="s">
        <v>218</v>
      </c>
      <c r="D343" s="9" t="s">
        <v>384</v>
      </c>
      <c r="E343" s="11">
        <v>20.25</v>
      </c>
      <c r="F343" s="7">
        <v>2500000</v>
      </c>
      <c r="G343" s="7">
        <v>0</v>
      </c>
      <c r="H343" s="7">
        <v>0</v>
      </c>
      <c r="I343" s="7">
        <v>3134800.625</v>
      </c>
      <c r="J343" s="7">
        <v>63479712.65625</v>
      </c>
    </row>
    <row r="344" spans="1:10" ht="13.8" outlineLevel="1" x14ac:dyDescent="0.3">
      <c r="A344" s="8">
        <v>338</v>
      </c>
      <c r="B344" s="9" t="s">
        <v>385</v>
      </c>
      <c r="C344" s="10" t="s">
        <v>219</v>
      </c>
      <c r="D344" s="9" t="s">
        <v>384</v>
      </c>
      <c r="E344" s="11">
        <v>4.71</v>
      </c>
      <c r="F344" s="7">
        <v>2500000</v>
      </c>
      <c r="G344" s="7">
        <v>0</v>
      </c>
      <c r="H344" s="7">
        <v>0</v>
      </c>
      <c r="I344" s="7">
        <v>3134800.625</v>
      </c>
      <c r="J344" s="7">
        <v>14764910.94375</v>
      </c>
    </row>
    <row r="345" spans="1:10" ht="41.4" outlineLevel="1" x14ac:dyDescent="0.3">
      <c r="A345" s="8">
        <v>339</v>
      </c>
      <c r="B345" s="9" t="s">
        <v>438</v>
      </c>
      <c r="C345" s="10" t="s">
        <v>197</v>
      </c>
      <c r="D345" s="9" t="s">
        <v>384</v>
      </c>
      <c r="E345" s="11">
        <v>72.665000000000006</v>
      </c>
      <c r="F345" s="7">
        <v>19868.710910000002</v>
      </c>
      <c r="G345" s="7">
        <v>19833</v>
      </c>
      <c r="H345" s="7">
        <v>0</v>
      </c>
      <c r="I345" s="7">
        <v>49782.779269694925</v>
      </c>
      <c r="J345" s="7">
        <v>3617465.6556323823</v>
      </c>
    </row>
    <row r="346" spans="1:10" ht="41.4" outlineLevel="1" x14ac:dyDescent="0.3">
      <c r="A346" s="8">
        <v>340</v>
      </c>
      <c r="B346" s="9" t="s">
        <v>439</v>
      </c>
      <c r="C346" s="10" t="s">
        <v>198</v>
      </c>
      <c r="D346" s="9" t="s">
        <v>384</v>
      </c>
      <c r="E346" s="11">
        <v>72.665000000000006</v>
      </c>
      <c r="F346" s="7">
        <v>25357.803359999998</v>
      </c>
      <c r="G346" s="7">
        <v>21936.5</v>
      </c>
      <c r="H346" s="7">
        <v>0</v>
      </c>
      <c r="I346" s="7">
        <v>59303.284692747031</v>
      </c>
      <c r="J346" s="7">
        <v>4309273.182198463</v>
      </c>
    </row>
    <row r="347" spans="1:10" ht="13.8" outlineLevel="1" x14ac:dyDescent="0.3">
      <c r="A347" s="8">
        <v>341</v>
      </c>
      <c r="B347" s="9" t="s">
        <v>455</v>
      </c>
      <c r="C347" s="10" t="s">
        <v>220</v>
      </c>
      <c r="D347" s="9" t="s">
        <v>384</v>
      </c>
      <c r="E347" s="11">
        <v>54.57</v>
      </c>
      <c r="F347" s="7">
        <v>118370.92536000001</v>
      </c>
      <c r="G347" s="7">
        <v>137004.41999999998</v>
      </c>
      <c r="H347" s="7">
        <v>5777.4000000000005</v>
      </c>
      <c r="I347" s="7">
        <v>327464.71574999747</v>
      </c>
      <c r="J347" s="7">
        <v>17869749.538477361</v>
      </c>
    </row>
    <row r="348" spans="1:10" ht="13.8" outlineLevel="1" x14ac:dyDescent="0.3">
      <c r="A348" s="8">
        <v>342</v>
      </c>
      <c r="B348" s="9" t="s">
        <v>439</v>
      </c>
      <c r="C348" s="10" t="s">
        <v>221</v>
      </c>
      <c r="D348" s="9" t="s">
        <v>384</v>
      </c>
      <c r="E348" s="11">
        <v>93.11</v>
      </c>
      <c r="F348" s="7">
        <v>25357.803359999998</v>
      </c>
      <c r="G348" s="7">
        <v>21936.5</v>
      </c>
      <c r="H348" s="7">
        <v>0</v>
      </c>
      <c r="I348" s="7">
        <v>59303.284692747031</v>
      </c>
      <c r="J348" s="7">
        <v>5521728.8377416758</v>
      </c>
    </row>
    <row r="349" spans="1:10" ht="13.8" outlineLevel="1" x14ac:dyDescent="0.3">
      <c r="A349" s="8">
        <v>343</v>
      </c>
      <c r="B349" s="9" t="s">
        <v>385</v>
      </c>
      <c r="C349" s="10" t="s">
        <v>222</v>
      </c>
      <c r="D349" s="9" t="s">
        <v>456</v>
      </c>
      <c r="E349" s="11">
        <v>12</v>
      </c>
      <c r="F349" s="7">
        <v>90000</v>
      </c>
      <c r="G349" s="7">
        <v>0</v>
      </c>
      <c r="H349" s="7">
        <v>0</v>
      </c>
      <c r="I349" s="7">
        <v>112852.82250000001</v>
      </c>
      <c r="J349" s="7">
        <v>1354233.87</v>
      </c>
    </row>
    <row r="350" spans="1:10" ht="13.8" outlineLevel="1" x14ac:dyDescent="0.3">
      <c r="A350" s="8">
        <v>344</v>
      </c>
      <c r="B350" s="9" t="s">
        <v>385</v>
      </c>
      <c r="C350" s="10" t="s">
        <v>223</v>
      </c>
      <c r="D350" s="9" t="s">
        <v>456</v>
      </c>
      <c r="E350" s="11">
        <v>12</v>
      </c>
      <c r="F350" s="7">
        <v>175000</v>
      </c>
      <c r="G350" s="7">
        <v>0</v>
      </c>
      <c r="H350" s="7">
        <v>0</v>
      </c>
      <c r="I350" s="7">
        <v>219436.04375000001</v>
      </c>
      <c r="J350" s="7">
        <v>2633232.5250000004</v>
      </c>
    </row>
    <row r="351" spans="1:10" ht="13.8" outlineLevel="1" x14ac:dyDescent="0.3">
      <c r="A351" s="8">
        <v>345</v>
      </c>
      <c r="B351" s="9" t="s">
        <v>385</v>
      </c>
      <c r="C351" s="10" t="s">
        <v>224</v>
      </c>
      <c r="D351" s="9" t="s">
        <v>456</v>
      </c>
      <c r="E351" s="11">
        <v>1</v>
      </c>
      <c r="F351" s="7">
        <v>300000</v>
      </c>
      <c r="G351" s="7">
        <v>0</v>
      </c>
      <c r="H351" s="7">
        <v>0</v>
      </c>
      <c r="I351" s="7">
        <v>376176.07500000001</v>
      </c>
      <c r="J351" s="7">
        <v>376176.07500000001</v>
      </c>
    </row>
    <row r="352" spans="1:10" ht="13.8" outlineLevel="1" x14ac:dyDescent="0.3">
      <c r="A352" s="8">
        <v>346</v>
      </c>
      <c r="B352" s="9" t="s">
        <v>407</v>
      </c>
      <c r="C352" s="10" t="s">
        <v>155</v>
      </c>
      <c r="D352" s="9" t="s">
        <v>342</v>
      </c>
      <c r="E352" s="11">
        <v>0.15337000000000001</v>
      </c>
      <c r="F352" s="7">
        <v>15034515.540000001</v>
      </c>
      <c r="G352" s="7">
        <v>8399675.75</v>
      </c>
      <c r="H352" s="7">
        <v>2622043.1999999997</v>
      </c>
      <c r="I352" s="7">
        <v>32672440.06575942</v>
      </c>
      <c r="J352" s="7">
        <v>5010972.1328855222</v>
      </c>
    </row>
    <row r="353" spans="1:10" ht="13.8" outlineLevel="1" x14ac:dyDescent="0.3">
      <c r="A353" s="8">
        <v>347</v>
      </c>
      <c r="B353" s="9" t="s">
        <v>383</v>
      </c>
      <c r="C353" s="10" t="s">
        <v>133</v>
      </c>
      <c r="D353" s="9" t="s">
        <v>384</v>
      </c>
      <c r="E353" s="11">
        <v>5.1123333333333338</v>
      </c>
      <c r="F353" s="7">
        <v>6659.1598384499994</v>
      </c>
      <c r="G353" s="7">
        <v>130480.40000000001</v>
      </c>
      <c r="H353" s="7">
        <v>32775.54</v>
      </c>
      <c r="I353" s="7">
        <v>213059.9844682042</v>
      </c>
      <c r="J353" s="7">
        <v>1089233.6605962827</v>
      </c>
    </row>
    <row r="354" spans="1:10" ht="13.8" outlineLevel="1" x14ac:dyDescent="0.3">
      <c r="A354" s="8">
        <v>348</v>
      </c>
      <c r="B354" s="9" t="s">
        <v>378</v>
      </c>
      <c r="C354" s="10" t="s">
        <v>225</v>
      </c>
      <c r="D354" s="9" t="s">
        <v>342</v>
      </c>
      <c r="E354" s="11">
        <v>1.0703699999999998</v>
      </c>
      <c r="F354" s="7">
        <v>14969700.119999999</v>
      </c>
      <c r="G354" s="7">
        <v>6762146.7300000004</v>
      </c>
      <c r="H354" s="7">
        <v>3004056.8000000003</v>
      </c>
      <c r="I354" s="7">
        <v>31016850.488783915</v>
      </c>
      <c r="J354" s="7">
        <v>33199506.257679634</v>
      </c>
    </row>
    <row r="355" spans="1:10" ht="13.8" outlineLevel="1" x14ac:dyDescent="0.3">
      <c r="A355" s="8">
        <v>349</v>
      </c>
      <c r="B355" s="9" t="s">
        <v>379</v>
      </c>
      <c r="C355" s="10" t="s">
        <v>226</v>
      </c>
      <c r="D355" s="9" t="s">
        <v>342</v>
      </c>
      <c r="E355" s="11">
        <v>1.0703699999999998</v>
      </c>
      <c r="F355" s="7">
        <v>847447.3175</v>
      </c>
      <c r="G355" s="7">
        <v>4697294.4000000004</v>
      </c>
      <c r="H355" s="7">
        <v>2085518.9828000001</v>
      </c>
      <c r="I355" s="7">
        <v>9567738.4048853517</v>
      </c>
      <c r="J355" s="7">
        <v>10241020.156437133</v>
      </c>
    </row>
    <row r="356" spans="1:10" ht="13.8" outlineLevel="1" x14ac:dyDescent="0.3">
      <c r="A356" s="8">
        <v>350</v>
      </c>
      <c r="B356" s="9" t="s">
        <v>385</v>
      </c>
      <c r="C356" s="10" t="s">
        <v>227</v>
      </c>
      <c r="D356" s="9" t="s">
        <v>386</v>
      </c>
      <c r="E356" s="11">
        <v>14</v>
      </c>
      <c r="F356" s="7">
        <v>75000</v>
      </c>
      <c r="G356" s="7">
        <v>0</v>
      </c>
      <c r="H356" s="7">
        <v>0</v>
      </c>
      <c r="I356" s="7">
        <v>94044.018750000003</v>
      </c>
      <c r="J356" s="7">
        <v>1316616.2625</v>
      </c>
    </row>
    <row r="357" spans="1:10" ht="13.8" outlineLevel="1" x14ac:dyDescent="0.3">
      <c r="A357" s="8">
        <v>351</v>
      </c>
      <c r="B357" s="9" t="s">
        <v>385</v>
      </c>
      <c r="C357" s="10" t="s">
        <v>228</v>
      </c>
      <c r="D357" s="9" t="s">
        <v>384</v>
      </c>
      <c r="E357" s="11">
        <v>29.33</v>
      </c>
      <c r="F357" s="7">
        <v>165000</v>
      </c>
      <c r="G357" s="7">
        <v>0</v>
      </c>
      <c r="H357" s="7">
        <v>0</v>
      </c>
      <c r="I357" s="7">
        <v>206896.84125</v>
      </c>
      <c r="J357" s="7">
        <v>6068284.3538624998</v>
      </c>
    </row>
    <row r="358" spans="1:10" ht="27.6" outlineLevel="1" x14ac:dyDescent="0.3">
      <c r="A358" s="3"/>
      <c r="B358" s="4"/>
      <c r="C358" s="4" t="s">
        <v>229</v>
      </c>
      <c r="D358" s="4"/>
      <c r="E358" s="12"/>
      <c r="F358" s="13"/>
      <c r="G358" s="13"/>
      <c r="H358" s="13"/>
      <c r="I358" s="13"/>
      <c r="J358" s="13">
        <v>496091641.9707526</v>
      </c>
    </row>
    <row r="359" spans="1:10" ht="13.8" x14ac:dyDescent="0.3">
      <c r="A359" s="3"/>
      <c r="B359" s="4" t="s">
        <v>310</v>
      </c>
      <c r="C359" s="5" t="s">
        <v>230</v>
      </c>
      <c r="D359" s="4">
        <v>0</v>
      </c>
      <c r="E359" s="6">
        <v>0</v>
      </c>
      <c r="F359" s="7"/>
      <c r="G359" s="7"/>
      <c r="H359" s="7"/>
      <c r="I359" s="7"/>
      <c r="J359" s="7"/>
    </row>
    <row r="360" spans="1:10" ht="27.6" outlineLevel="1" x14ac:dyDescent="0.3">
      <c r="A360" s="8">
        <v>352</v>
      </c>
      <c r="B360" s="9" t="s">
        <v>425</v>
      </c>
      <c r="C360" s="10" t="s">
        <v>175</v>
      </c>
      <c r="D360" s="9" t="s">
        <v>325</v>
      </c>
      <c r="E360" s="11">
        <v>12.7</v>
      </c>
      <c r="F360" s="7">
        <v>1007898.8714025001</v>
      </c>
      <c r="G360" s="7">
        <v>1012685</v>
      </c>
      <c r="H360" s="7">
        <v>152454.46</v>
      </c>
      <c r="I360" s="7">
        <v>2724816.7677718056</v>
      </c>
      <c r="J360" s="7">
        <v>34605172.95070193</v>
      </c>
    </row>
    <row r="361" spans="1:10" ht="27.6" outlineLevel="1" x14ac:dyDescent="0.3">
      <c r="A361" s="8">
        <v>353</v>
      </c>
      <c r="B361" s="9" t="s">
        <v>358</v>
      </c>
      <c r="C361" s="10" t="s">
        <v>176</v>
      </c>
      <c r="D361" s="9" t="s">
        <v>342</v>
      </c>
      <c r="E361" s="11">
        <v>0</v>
      </c>
      <c r="F361" s="7">
        <v>12994917.369999999</v>
      </c>
      <c r="G361" s="7">
        <v>4357250</v>
      </c>
      <c r="H361" s="7">
        <v>191512.4154</v>
      </c>
      <c r="I361" s="7">
        <v>21998375.342428707</v>
      </c>
      <c r="J361" s="7">
        <v>0</v>
      </c>
    </row>
    <row r="362" spans="1:10" ht="27.6" outlineLevel="1" x14ac:dyDescent="0.3">
      <c r="A362" s="8">
        <v>354</v>
      </c>
      <c r="B362" s="9" t="s">
        <v>359</v>
      </c>
      <c r="C362" s="10" t="s">
        <v>177</v>
      </c>
      <c r="D362" s="9" t="s">
        <v>342</v>
      </c>
      <c r="E362" s="11">
        <v>0.99142999999999992</v>
      </c>
      <c r="F362" s="7">
        <v>14450243.1</v>
      </c>
      <c r="G362" s="7">
        <v>2815684.9999999995</v>
      </c>
      <c r="H362" s="7">
        <v>707210.20272000018</v>
      </c>
      <c r="I362" s="7">
        <v>22536882.073831242</v>
      </c>
      <c r="J362" s="7">
        <v>22343740.994458508</v>
      </c>
    </row>
    <row r="363" spans="1:10" ht="27.6" outlineLevel="1" x14ac:dyDescent="0.3">
      <c r="A363" s="8">
        <v>355</v>
      </c>
      <c r="B363" s="9" t="s">
        <v>426</v>
      </c>
      <c r="C363" s="10" t="s">
        <v>178</v>
      </c>
      <c r="D363" s="9" t="s">
        <v>342</v>
      </c>
      <c r="E363" s="11">
        <v>1.9687600000000001</v>
      </c>
      <c r="F363" s="7">
        <v>14600248.549999999</v>
      </c>
      <c r="G363" s="7">
        <v>2340895</v>
      </c>
      <c r="H363" s="7">
        <v>808840.39356</v>
      </c>
      <c r="I363" s="7">
        <v>22257064.30400474</v>
      </c>
      <c r="J363" s="7">
        <v>43818817.919152372</v>
      </c>
    </row>
    <row r="364" spans="1:10" ht="13.8" outlineLevel="1" x14ac:dyDescent="0.3">
      <c r="A364" s="8">
        <v>356</v>
      </c>
      <c r="B364" s="9" t="s">
        <v>360</v>
      </c>
      <c r="C364" s="10" t="s">
        <v>179</v>
      </c>
      <c r="D364" s="9" t="s">
        <v>345</v>
      </c>
      <c r="E364" s="11">
        <v>1.016</v>
      </c>
      <c r="F364" s="7">
        <v>2553370.7010000008</v>
      </c>
      <c r="G364" s="7">
        <v>9763195.9299999997</v>
      </c>
      <c r="H364" s="7">
        <v>716379.66</v>
      </c>
      <c r="I364" s="7">
        <v>16342275.271447293</v>
      </c>
      <c r="J364" s="7">
        <v>16603751.67579045</v>
      </c>
    </row>
    <row r="365" spans="1:10" ht="27.6" outlineLevel="1" x14ac:dyDescent="0.3">
      <c r="A365" s="8">
        <v>357</v>
      </c>
      <c r="B365" s="9" t="s">
        <v>427</v>
      </c>
      <c r="C365" s="10" t="s">
        <v>180</v>
      </c>
      <c r="D365" s="9" t="s">
        <v>325</v>
      </c>
      <c r="E365" s="11">
        <v>9.86</v>
      </c>
      <c r="F365" s="7">
        <v>969502.72392050002</v>
      </c>
      <c r="G365" s="7">
        <v>802335</v>
      </c>
      <c r="H365" s="7">
        <v>90247.92</v>
      </c>
      <c r="I365" s="7">
        <v>2334906.8961462043</v>
      </c>
      <c r="J365" s="7">
        <v>23022181.996001575</v>
      </c>
    </row>
    <row r="366" spans="1:10" ht="27.6" outlineLevel="1" x14ac:dyDescent="0.3">
      <c r="A366" s="8">
        <v>358</v>
      </c>
      <c r="B366" s="9" t="s">
        <v>361</v>
      </c>
      <c r="C366" s="10" t="s">
        <v>181</v>
      </c>
      <c r="D366" s="9" t="s">
        <v>342</v>
      </c>
      <c r="E366" s="11">
        <v>0</v>
      </c>
      <c r="F366" s="7">
        <v>12994917.369999999</v>
      </c>
      <c r="G366" s="7">
        <v>4729870</v>
      </c>
      <c r="H366" s="7">
        <v>191512.4154</v>
      </c>
      <c r="I366" s="7">
        <v>22465611.105983708</v>
      </c>
      <c r="J366" s="7">
        <v>0</v>
      </c>
    </row>
    <row r="367" spans="1:10" ht="27.6" outlineLevel="1" x14ac:dyDescent="0.3">
      <c r="A367" s="8">
        <v>359</v>
      </c>
      <c r="B367" s="9" t="s">
        <v>362</v>
      </c>
      <c r="C367" s="10" t="s">
        <v>182</v>
      </c>
      <c r="D367" s="9" t="s">
        <v>342</v>
      </c>
      <c r="E367" s="11">
        <v>0.49887999999999999</v>
      </c>
      <c r="F367" s="7">
        <v>14447952.18</v>
      </c>
      <c r="G367" s="7">
        <v>2878790</v>
      </c>
      <c r="H367" s="7">
        <v>694315.36884000001</v>
      </c>
      <c r="I367" s="7">
        <v>22596968.986905839</v>
      </c>
      <c r="J367" s="7">
        <v>11273175.888187585</v>
      </c>
    </row>
    <row r="368" spans="1:10" ht="27.6" outlineLevel="1" x14ac:dyDescent="0.3">
      <c r="A368" s="8">
        <v>360</v>
      </c>
      <c r="B368" s="9" t="s">
        <v>370</v>
      </c>
      <c r="C368" s="10" t="s">
        <v>183</v>
      </c>
      <c r="D368" s="9" t="s">
        <v>342</v>
      </c>
      <c r="E368" s="11">
        <v>1.7145599999999999</v>
      </c>
      <c r="F368" s="7">
        <v>14597193.99</v>
      </c>
      <c r="G368" s="7">
        <v>2425035</v>
      </c>
      <c r="H368" s="7">
        <v>792602.45459999994</v>
      </c>
      <c r="I368" s="7">
        <v>22338377.898720693</v>
      </c>
      <c r="J368" s="7">
        <v>38300489.210030548</v>
      </c>
    </row>
    <row r="369" spans="1:10" ht="13.8" outlineLevel="1" x14ac:dyDescent="0.3">
      <c r="A369" s="8">
        <v>361</v>
      </c>
      <c r="B369" s="9" t="s">
        <v>363</v>
      </c>
      <c r="C369" s="10" t="s">
        <v>184</v>
      </c>
      <c r="D369" s="9" t="s">
        <v>345</v>
      </c>
      <c r="E369" s="11">
        <v>0.39439999999999997</v>
      </c>
      <c r="F369" s="7">
        <v>2174259.2235000003</v>
      </c>
      <c r="G369" s="7">
        <v>7502623</v>
      </c>
      <c r="H369" s="7">
        <v>716379.66</v>
      </c>
      <c r="I369" s="7">
        <v>13032321.539273791</v>
      </c>
      <c r="J369" s="7">
        <v>5139947.6150895832</v>
      </c>
    </row>
    <row r="370" spans="1:10" ht="27.6" outlineLevel="1" x14ac:dyDescent="0.3">
      <c r="A370" s="8">
        <v>362</v>
      </c>
      <c r="B370" s="9" t="s">
        <v>428</v>
      </c>
      <c r="C370" s="10" t="s">
        <v>185</v>
      </c>
      <c r="D370" s="9" t="s">
        <v>325</v>
      </c>
      <c r="E370" s="11">
        <v>8.17</v>
      </c>
      <c r="F370" s="7">
        <v>969502.72392050002</v>
      </c>
      <c r="G370" s="7">
        <v>558930</v>
      </c>
      <c r="H370" s="7">
        <v>115482.97699999998</v>
      </c>
      <c r="I370" s="7">
        <v>2061339.1866771583</v>
      </c>
      <c r="J370" s="7">
        <v>16841141.155152384</v>
      </c>
    </row>
    <row r="371" spans="1:10" ht="27.6" outlineLevel="1" x14ac:dyDescent="0.3">
      <c r="A371" s="8">
        <v>363</v>
      </c>
      <c r="B371" s="9" t="s">
        <v>429</v>
      </c>
      <c r="C371" s="10" t="s">
        <v>186</v>
      </c>
      <c r="D371" s="9" t="s">
        <v>342</v>
      </c>
      <c r="E371" s="11">
        <v>0</v>
      </c>
      <c r="F371" s="7">
        <v>12994917.369999999</v>
      </c>
      <c r="G371" s="7">
        <v>4176950</v>
      </c>
      <c r="H371" s="7">
        <v>199765.06812000001</v>
      </c>
      <c r="I371" s="7">
        <v>21782641.689715534</v>
      </c>
      <c r="J371" s="7">
        <v>0</v>
      </c>
    </row>
    <row r="372" spans="1:10" ht="27.6" outlineLevel="1" x14ac:dyDescent="0.3">
      <c r="A372" s="8">
        <v>364</v>
      </c>
      <c r="B372" s="9" t="s">
        <v>354</v>
      </c>
      <c r="C372" s="10" t="s">
        <v>231</v>
      </c>
      <c r="D372" s="9" t="s">
        <v>342</v>
      </c>
      <c r="E372" s="11">
        <v>1.1366099999999999</v>
      </c>
      <c r="F372" s="7">
        <v>14446367.627</v>
      </c>
      <c r="G372" s="7">
        <v>3017019.9999999995</v>
      </c>
      <c r="H372" s="7">
        <v>701918.48352000001</v>
      </c>
      <c r="I372" s="7">
        <v>22777845.179429766</v>
      </c>
      <c r="J372" s="7">
        <v>25889526.609391663</v>
      </c>
    </row>
    <row r="373" spans="1:10" ht="13.8" outlineLevel="1" x14ac:dyDescent="0.3">
      <c r="A373" s="8">
        <v>365</v>
      </c>
      <c r="B373" s="9" t="s">
        <v>355</v>
      </c>
      <c r="C373" s="10" t="s">
        <v>187</v>
      </c>
      <c r="D373" s="9" t="s">
        <v>345</v>
      </c>
      <c r="E373" s="11">
        <v>0.65359999999999996</v>
      </c>
      <c r="F373" s="7">
        <v>2001758.4615000002</v>
      </c>
      <c r="G373" s="7">
        <v>6524020</v>
      </c>
      <c r="H373" s="7">
        <v>716379.66</v>
      </c>
      <c r="I373" s="7">
        <v>11588929.22225081</v>
      </c>
      <c r="J373" s="7">
        <v>7574524.1396631291</v>
      </c>
    </row>
    <row r="374" spans="1:10" ht="27.6" outlineLevel="1" x14ac:dyDescent="0.3">
      <c r="A374" s="8">
        <v>366</v>
      </c>
      <c r="B374" s="9" t="s">
        <v>430</v>
      </c>
      <c r="C374" s="10" t="s">
        <v>188</v>
      </c>
      <c r="D374" s="9" t="s">
        <v>325</v>
      </c>
      <c r="E374" s="11">
        <v>0.46</v>
      </c>
      <c r="F374" s="7">
        <v>969502.72392050002</v>
      </c>
      <c r="G374" s="7">
        <v>799330</v>
      </c>
      <c r="H374" s="7">
        <v>115482.97699999998</v>
      </c>
      <c r="I374" s="7">
        <v>2362781.6147771585</v>
      </c>
      <c r="J374" s="7">
        <v>1086879.542797493</v>
      </c>
    </row>
    <row r="375" spans="1:10" ht="27.6" outlineLevel="1" x14ac:dyDescent="0.3">
      <c r="A375" s="8">
        <v>367</v>
      </c>
      <c r="B375" s="9" t="s">
        <v>431</v>
      </c>
      <c r="C375" s="10" t="s">
        <v>189</v>
      </c>
      <c r="D375" s="9" t="s">
        <v>342</v>
      </c>
      <c r="E375" s="11">
        <v>0</v>
      </c>
      <c r="F375" s="7">
        <v>12994917.369999999</v>
      </c>
      <c r="G375" s="7">
        <v>5646395</v>
      </c>
      <c r="H375" s="7">
        <v>191512.4154</v>
      </c>
      <c r="I375" s="7">
        <v>23614860.363114957</v>
      </c>
      <c r="J375" s="7">
        <v>0</v>
      </c>
    </row>
    <row r="376" spans="1:10" ht="27.6" outlineLevel="1" x14ac:dyDescent="0.3">
      <c r="A376" s="8">
        <v>368</v>
      </c>
      <c r="B376" s="9" t="s">
        <v>432</v>
      </c>
      <c r="C376" s="10" t="s">
        <v>190</v>
      </c>
      <c r="D376" s="9" t="s">
        <v>342</v>
      </c>
      <c r="E376" s="11">
        <v>0.34085000000000004</v>
      </c>
      <c r="F376" s="7">
        <v>14446367.627</v>
      </c>
      <c r="G376" s="7">
        <v>4792975</v>
      </c>
      <c r="H376" s="7">
        <v>689539.50444000005</v>
      </c>
      <c r="I376" s="7">
        <v>24989228.864475776</v>
      </c>
      <c r="J376" s="7">
        <v>8517578.6584565695</v>
      </c>
    </row>
    <row r="377" spans="1:10" ht="13.8" outlineLevel="1" x14ac:dyDescent="0.3">
      <c r="A377" s="8">
        <v>369</v>
      </c>
      <c r="B377" s="9" t="s">
        <v>433</v>
      </c>
      <c r="C377" s="10" t="s">
        <v>191</v>
      </c>
      <c r="D377" s="9" t="s">
        <v>345</v>
      </c>
      <c r="E377" s="11">
        <v>3.6799999999999999E-2</v>
      </c>
      <c r="F377" s="7">
        <v>6434692.3755000001</v>
      </c>
      <c r="G377" s="7">
        <v>8555235</v>
      </c>
      <c r="H377" s="7">
        <v>0</v>
      </c>
      <c r="I377" s="7">
        <v>18796173.482168805</v>
      </c>
      <c r="J377" s="7">
        <v>691699.18414381205</v>
      </c>
    </row>
    <row r="378" spans="1:10" ht="27.6" outlineLevel="1" x14ac:dyDescent="0.3">
      <c r="A378" s="8">
        <v>370</v>
      </c>
      <c r="B378" s="9" t="s">
        <v>434</v>
      </c>
      <c r="C378" s="10" t="s">
        <v>192</v>
      </c>
      <c r="D378" s="9" t="s">
        <v>325</v>
      </c>
      <c r="E378" s="11">
        <v>61.2</v>
      </c>
      <c r="F378" s="7">
        <v>747397.25778640015</v>
      </c>
      <c r="G378" s="7">
        <v>465775</v>
      </c>
      <c r="H378" s="7">
        <v>54108.886439999995</v>
      </c>
      <c r="I378" s="7">
        <v>1589069.4891886536</v>
      </c>
      <c r="J378" s="7">
        <v>97251052.738345608</v>
      </c>
    </row>
    <row r="379" spans="1:10" ht="27.6" outlineLevel="1" x14ac:dyDescent="0.3">
      <c r="A379" s="8">
        <v>371</v>
      </c>
      <c r="B379" s="9" t="s">
        <v>435</v>
      </c>
      <c r="C379" s="10" t="s">
        <v>193</v>
      </c>
      <c r="D379" s="9" t="s">
        <v>410</v>
      </c>
      <c r="E379" s="11">
        <v>9.4E-2</v>
      </c>
      <c r="F379" s="7">
        <v>10002678.587842001</v>
      </c>
      <c r="G379" s="7">
        <v>2310845</v>
      </c>
      <c r="H379" s="7">
        <v>0</v>
      </c>
      <c r="I379" s="7">
        <v>15440176.57564774</v>
      </c>
      <c r="J379" s="7">
        <v>1451376.5981108875</v>
      </c>
    </row>
    <row r="380" spans="1:10" ht="13.8" outlineLevel="1" x14ac:dyDescent="0.3">
      <c r="A380" s="8">
        <v>372</v>
      </c>
      <c r="B380" s="9" t="s">
        <v>385</v>
      </c>
      <c r="C380" s="10" t="s">
        <v>194</v>
      </c>
      <c r="D380" s="9" t="s">
        <v>387</v>
      </c>
      <c r="E380" s="11">
        <v>2</v>
      </c>
      <c r="F380" s="7">
        <v>150000</v>
      </c>
      <c r="G380" s="7">
        <v>0</v>
      </c>
      <c r="H380" s="7">
        <v>0</v>
      </c>
      <c r="I380" s="7">
        <v>188088.03750000001</v>
      </c>
      <c r="J380" s="7">
        <v>376176.07500000001</v>
      </c>
    </row>
    <row r="381" spans="1:10" ht="27.6" outlineLevel="1" x14ac:dyDescent="0.3">
      <c r="A381" s="8">
        <v>373</v>
      </c>
      <c r="B381" s="9" t="s">
        <v>436</v>
      </c>
      <c r="C381" s="10" t="s">
        <v>195</v>
      </c>
      <c r="D381" s="9" t="s">
        <v>384</v>
      </c>
      <c r="E381" s="11">
        <v>237.68</v>
      </c>
      <c r="F381" s="7">
        <v>14132.233619999999</v>
      </c>
      <c r="G381" s="7">
        <v>78130</v>
      </c>
      <c r="H381" s="7">
        <v>661.83400000000006</v>
      </c>
      <c r="I381" s="7">
        <v>116519.3701010873</v>
      </c>
      <c r="J381" s="7">
        <v>27694323.885626432</v>
      </c>
    </row>
    <row r="382" spans="1:10" ht="27.6" outlineLevel="1" x14ac:dyDescent="0.3">
      <c r="A382" s="8">
        <v>374</v>
      </c>
      <c r="B382" s="9" t="s">
        <v>437</v>
      </c>
      <c r="C382" s="10" t="s">
        <v>196</v>
      </c>
      <c r="D382" s="9" t="s">
        <v>384</v>
      </c>
      <c r="E382" s="11">
        <v>237.68</v>
      </c>
      <c r="F382" s="7">
        <v>14132.233619999999</v>
      </c>
      <c r="G382" s="7">
        <v>60100</v>
      </c>
      <c r="H382" s="7">
        <v>661.83400000000006</v>
      </c>
      <c r="I382" s="7">
        <v>93911.1879935873</v>
      </c>
      <c r="J382" s="7">
        <v>22320811.162315831</v>
      </c>
    </row>
    <row r="383" spans="1:10" ht="41.4" outlineLevel="1" x14ac:dyDescent="0.3">
      <c r="A383" s="8">
        <v>375</v>
      </c>
      <c r="B383" s="9" t="s">
        <v>438</v>
      </c>
      <c r="C383" s="10" t="s">
        <v>197</v>
      </c>
      <c r="D383" s="9" t="s">
        <v>384</v>
      </c>
      <c r="E383" s="11">
        <v>237.68</v>
      </c>
      <c r="F383" s="7">
        <v>19868.710910000002</v>
      </c>
      <c r="G383" s="7">
        <v>19833</v>
      </c>
      <c r="H383" s="7">
        <v>0</v>
      </c>
      <c r="I383" s="7">
        <v>49782.779269694925</v>
      </c>
      <c r="J383" s="7">
        <v>11832370.976821091</v>
      </c>
    </row>
    <row r="384" spans="1:10" ht="41.4" outlineLevel="1" x14ac:dyDescent="0.3">
      <c r="A384" s="8">
        <v>376</v>
      </c>
      <c r="B384" s="9" t="s">
        <v>439</v>
      </c>
      <c r="C384" s="10" t="s">
        <v>198</v>
      </c>
      <c r="D384" s="9" t="s">
        <v>384</v>
      </c>
      <c r="E384" s="11">
        <v>237.68</v>
      </c>
      <c r="F384" s="7">
        <v>25357.803359999998</v>
      </c>
      <c r="G384" s="7">
        <v>21936.5</v>
      </c>
      <c r="H384" s="7">
        <v>0</v>
      </c>
      <c r="I384" s="7">
        <v>59303.284692747031</v>
      </c>
      <c r="J384" s="7">
        <v>14095204.705772115</v>
      </c>
    </row>
    <row r="385" spans="1:10" ht="13.8" outlineLevel="1" x14ac:dyDescent="0.3">
      <c r="A385" s="8">
        <v>377</v>
      </c>
      <c r="B385" s="9" t="s">
        <v>385</v>
      </c>
      <c r="C385" s="10" t="s">
        <v>232</v>
      </c>
      <c r="D385" s="9" t="s">
        <v>384</v>
      </c>
      <c r="E385" s="11">
        <v>15.120000000000001</v>
      </c>
      <c r="F385" s="7">
        <v>2500000</v>
      </c>
      <c r="G385" s="7">
        <v>0</v>
      </c>
      <c r="H385" s="7">
        <v>0</v>
      </c>
      <c r="I385" s="7">
        <v>3134800.625</v>
      </c>
      <c r="J385" s="7">
        <v>47398185.450000003</v>
      </c>
    </row>
    <row r="386" spans="1:10" ht="13.8" outlineLevel="1" x14ac:dyDescent="0.3">
      <c r="A386" s="8">
        <v>378</v>
      </c>
      <c r="B386" s="9" t="s">
        <v>385</v>
      </c>
      <c r="C386" s="10" t="s">
        <v>233</v>
      </c>
      <c r="D386" s="9" t="s">
        <v>384</v>
      </c>
      <c r="E386" s="11">
        <v>12</v>
      </c>
      <c r="F386" s="7">
        <v>4500000</v>
      </c>
      <c r="G386" s="7">
        <v>0</v>
      </c>
      <c r="H386" s="7">
        <v>0</v>
      </c>
      <c r="I386" s="7">
        <v>5642641.125</v>
      </c>
      <c r="J386" s="7">
        <v>67711693.5</v>
      </c>
    </row>
    <row r="387" spans="1:10" ht="13.8" outlineLevel="1" x14ac:dyDescent="0.3">
      <c r="A387" s="8">
        <v>379</v>
      </c>
      <c r="B387" s="9" t="s">
        <v>441</v>
      </c>
      <c r="C387" s="10" t="s">
        <v>202</v>
      </c>
      <c r="D387" s="9" t="s">
        <v>384</v>
      </c>
      <c r="E387" s="11">
        <v>12</v>
      </c>
      <c r="F387" s="7">
        <v>9714.2000000000007</v>
      </c>
      <c r="G387" s="7">
        <v>153314.47</v>
      </c>
      <c r="H387" s="7">
        <v>32775.54</v>
      </c>
      <c r="I387" s="7">
        <v>245522.86395425253</v>
      </c>
      <c r="J387" s="7">
        <v>2946274.3674510303</v>
      </c>
    </row>
    <row r="388" spans="1:10" ht="13.8" outlineLevel="1" x14ac:dyDescent="0.3">
      <c r="A388" s="8">
        <v>380</v>
      </c>
      <c r="B388" s="9" t="s">
        <v>442</v>
      </c>
      <c r="C388" s="10" t="s">
        <v>203</v>
      </c>
      <c r="D388" s="9" t="s">
        <v>342</v>
      </c>
      <c r="E388" s="11">
        <v>0.4536</v>
      </c>
      <c r="F388" s="7">
        <v>14231627.697900001</v>
      </c>
      <c r="G388" s="7">
        <v>6210867.04</v>
      </c>
      <c r="H388" s="7">
        <v>2003135.6866000001</v>
      </c>
      <c r="I388" s="7">
        <v>28145030.513296649</v>
      </c>
      <c r="J388" s="7">
        <v>12766585.84083136</v>
      </c>
    </row>
    <row r="389" spans="1:10" ht="13.8" outlineLevel="1" x14ac:dyDescent="0.3">
      <c r="A389" s="8">
        <v>381</v>
      </c>
      <c r="B389" s="9" t="s">
        <v>443</v>
      </c>
      <c r="C389" s="10" t="s">
        <v>204</v>
      </c>
      <c r="D389" s="9" t="s">
        <v>384</v>
      </c>
      <c r="E389" s="11">
        <v>15.120000000000001</v>
      </c>
      <c r="F389" s="7">
        <v>5966.6998922999992</v>
      </c>
      <c r="G389" s="7">
        <v>65240.200000000004</v>
      </c>
      <c r="H389" s="7">
        <v>0</v>
      </c>
      <c r="I389" s="7">
        <v>89287.773714677794</v>
      </c>
      <c r="J389" s="7">
        <v>1350031.1385659284</v>
      </c>
    </row>
    <row r="390" spans="1:10" ht="27.6" outlineLevel="1" x14ac:dyDescent="0.3">
      <c r="A390" s="8">
        <v>382</v>
      </c>
      <c r="B390" s="9" t="s">
        <v>444</v>
      </c>
      <c r="C390" s="10" t="s">
        <v>205</v>
      </c>
      <c r="D390" s="9" t="s">
        <v>384</v>
      </c>
      <c r="E390" s="11">
        <v>15.120000000000001</v>
      </c>
      <c r="F390" s="7">
        <v>27729.55</v>
      </c>
      <c r="G390" s="7">
        <v>28247</v>
      </c>
      <c r="H390" s="7">
        <v>0</v>
      </c>
      <c r="I390" s="7">
        <v>70190.129570137506</v>
      </c>
      <c r="J390" s="7">
        <v>1061274.7591004791</v>
      </c>
    </row>
    <row r="391" spans="1:10" ht="13.8" outlineLevel="1" x14ac:dyDescent="0.3">
      <c r="A391" s="8">
        <v>383</v>
      </c>
      <c r="B391" s="9" t="s">
        <v>447</v>
      </c>
      <c r="C391" s="10" t="s">
        <v>208</v>
      </c>
      <c r="D391" s="9" t="s">
        <v>342</v>
      </c>
      <c r="E391" s="11">
        <v>0.2273</v>
      </c>
      <c r="F391" s="7">
        <v>14695715.899999999</v>
      </c>
      <c r="G391" s="7">
        <v>8791116.9499999993</v>
      </c>
      <c r="H391" s="7">
        <v>5536344.1082000006</v>
      </c>
      <c r="I391" s="7">
        <v>36392749.307220384</v>
      </c>
      <c r="J391" s="7">
        <v>8272071.9175311932</v>
      </c>
    </row>
    <row r="392" spans="1:10" ht="13.8" outlineLevel="1" x14ac:dyDescent="0.3">
      <c r="A392" s="8">
        <v>384</v>
      </c>
      <c r="B392" s="9" t="s">
        <v>457</v>
      </c>
      <c r="C392" s="10" t="s">
        <v>234</v>
      </c>
      <c r="D392" s="9" t="s">
        <v>387</v>
      </c>
      <c r="E392" s="11">
        <v>2</v>
      </c>
      <c r="F392" s="7">
        <v>94544.78</v>
      </c>
      <c r="G392" s="7">
        <v>108180</v>
      </c>
      <c r="H392" s="7">
        <v>413.6</v>
      </c>
      <c r="I392" s="7">
        <v>254719.32823419501</v>
      </c>
      <c r="J392" s="7">
        <v>509438.65646839002</v>
      </c>
    </row>
    <row r="393" spans="1:10" ht="13.8" outlineLevel="1" x14ac:dyDescent="0.3">
      <c r="A393" s="8">
        <v>385</v>
      </c>
      <c r="B393" s="9" t="s">
        <v>458</v>
      </c>
      <c r="C393" s="10" t="s">
        <v>235</v>
      </c>
      <c r="D393" s="9" t="s">
        <v>387</v>
      </c>
      <c r="E393" s="11">
        <v>2</v>
      </c>
      <c r="F393" s="7">
        <v>16007350.535</v>
      </c>
      <c r="G393" s="7">
        <v>336560.00000000006</v>
      </c>
      <c r="H393" s="7">
        <v>94956.650000000009</v>
      </c>
      <c r="I393" s="7">
        <v>20613028.450331997</v>
      </c>
      <c r="J393" s="7">
        <v>41226056.900663994</v>
      </c>
    </row>
    <row r="394" spans="1:10" ht="13.8" outlineLevel="1" x14ac:dyDescent="0.3">
      <c r="A394" s="8">
        <v>386</v>
      </c>
      <c r="B394" s="9" t="s">
        <v>459</v>
      </c>
      <c r="C394" s="10" t="s">
        <v>236</v>
      </c>
      <c r="D394" s="9" t="s">
        <v>460</v>
      </c>
      <c r="E394" s="11">
        <v>3</v>
      </c>
      <c r="F394" s="7">
        <v>7090200</v>
      </c>
      <c r="G394" s="7">
        <v>81135</v>
      </c>
      <c r="H394" s="7">
        <v>0</v>
      </c>
      <c r="I394" s="7">
        <v>8992282.1760337502</v>
      </c>
      <c r="J394" s="7">
        <v>26976846.528101251</v>
      </c>
    </row>
    <row r="395" spans="1:10" ht="27.6" outlineLevel="1" x14ac:dyDescent="0.3">
      <c r="A395" s="8">
        <v>387</v>
      </c>
      <c r="B395" s="9" t="s">
        <v>461</v>
      </c>
      <c r="C395" s="10" t="s">
        <v>237</v>
      </c>
      <c r="D395" s="9" t="s">
        <v>404</v>
      </c>
      <c r="E395" s="11">
        <v>31.4</v>
      </c>
      <c r="F395" s="7">
        <v>125915.35520000002</v>
      </c>
      <c r="G395" s="7">
        <v>17429</v>
      </c>
      <c r="H395" s="7">
        <v>2832.4250000000002</v>
      </c>
      <c r="I395" s="7">
        <v>183294.02477257908</v>
      </c>
      <c r="J395" s="7">
        <v>5755432.3778589834</v>
      </c>
    </row>
    <row r="396" spans="1:10" ht="13.8" outlineLevel="1" x14ac:dyDescent="0.3">
      <c r="A396" s="8">
        <v>388</v>
      </c>
      <c r="B396" s="9" t="s">
        <v>462</v>
      </c>
      <c r="C396" s="10" t="s">
        <v>238</v>
      </c>
      <c r="D396" s="9" t="s">
        <v>342</v>
      </c>
      <c r="E396" s="11">
        <v>2.6859999999999998E-2</v>
      </c>
      <c r="F396" s="7">
        <v>14826897.157500001</v>
      </c>
      <c r="G396" s="7">
        <v>2479127.6</v>
      </c>
      <c r="H396" s="7">
        <v>1533783.8991999999</v>
      </c>
      <c r="I396" s="7">
        <v>23623617.580761425</v>
      </c>
      <c r="J396" s="7">
        <v>634530.36821925186</v>
      </c>
    </row>
    <row r="397" spans="1:10" ht="13.8" outlineLevel="1" x14ac:dyDescent="0.3">
      <c r="A397" s="8">
        <v>389</v>
      </c>
      <c r="B397" s="9" t="s">
        <v>385</v>
      </c>
      <c r="C397" s="10" t="s">
        <v>239</v>
      </c>
      <c r="D397" s="9" t="s">
        <v>387</v>
      </c>
      <c r="E397" s="11">
        <v>14</v>
      </c>
      <c r="F397" s="7">
        <v>85000</v>
      </c>
      <c r="G397" s="7">
        <v>0</v>
      </c>
      <c r="H397" s="7">
        <v>0</v>
      </c>
      <c r="I397" s="7">
        <v>106583.22124999999</v>
      </c>
      <c r="J397" s="7">
        <v>1492165.0974999999</v>
      </c>
    </row>
    <row r="398" spans="1:10" ht="13.8" outlineLevel="1" x14ac:dyDescent="0.3">
      <c r="A398" s="8">
        <v>390</v>
      </c>
      <c r="B398" s="9" t="s">
        <v>445</v>
      </c>
      <c r="C398" s="10" t="s">
        <v>206</v>
      </c>
      <c r="D398" s="9" t="s">
        <v>342</v>
      </c>
      <c r="E398" s="11">
        <v>0.40487000000000001</v>
      </c>
      <c r="F398" s="7">
        <v>14513566.2171</v>
      </c>
      <c r="G398" s="7">
        <v>1833249.62</v>
      </c>
      <c r="H398" s="7">
        <v>0</v>
      </c>
      <c r="I398" s="7">
        <v>20497603.401160393</v>
      </c>
      <c r="J398" s="7">
        <v>8298864.6890278086</v>
      </c>
    </row>
    <row r="399" spans="1:10" ht="13.8" outlineLevel="1" x14ac:dyDescent="0.3">
      <c r="A399" s="8">
        <v>391</v>
      </c>
      <c r="B399" s="9" t="s">
        <v>446</v>
      </c>
      <c r="C399" s="10" t="s">
        <v>207</v>
      </c>
      <c r="D399" s="9" t="s">
        <v>342</v>
      </c>
      <c r="E399" s="11">
        <v>0.40487000000000001</v>
      </c>
      <c r="F399" s="7">
        <v>360221.24700000003</v>
      </c>
      <c r="G399" s="7">
        <v>890528.73</v>
      </c>
      <c r="H399" s="7">
        <v>1666502.368</v>
      </c>
      <c r="I399" s="7">
        <v>3658001.789755486</v>
      </c>
      <c r="J399" s="7">
        <v>1481015.1846183036</v>
      </c>
    </row>
    <row r="400" spans="1:10" ht="27.6" outlineLevel="1" x14ac:dyDescent="0.3">
      <c r="A400" s="8">
        <v>392</v>
      </c>
      <c r="B400" s="9" t="s">
        <v>440</v>
      </c>
      <c r="C400" s="10" t="s">
        <v>199</v>
      </c>
      <c r="D400" s="9" t="s">
        <v>345</v>
      </c>
      <c r="E400" s="11">
        <v>0.7</v>
      </c>
      <c r="F400" s="7">
        <v>12138697</v>
      </c>
      <c r="G400" s="7">
        <v>1923200</v>
      </c>
      <c r="H400" s="7">
        <v>0</v>
      </c>
      <c r="I400" s="7">
        <v>17632497.40171425</v>
      </c>
      <c r="J400" s="7">
        <v>12342748.181199975</v>
      </c>
    </row>
    <row r="401" spans="1:10" ht="13.8" outlineLevel="1" x14ac:dyDescent="0.3">
      <c r="A401" s="8">
        <v>393</v>
      </c>
      <c r="B401" s="9" t="s">
        <v>385</v>
      </c>
      <c r="C401" s="10" t="s">
        <v>240</v>
      </c>
      <c r="D401" s="9" t="s">
        <v>404</v>
      </c>
      <c r="E401" s="11">
        <v>20.079999999999998</v>
      </c>
      <c r="F401" s="7">
        <v>100000</v>
      </c>
      <c r="G401" s="7">
        <v>0</v>
      </c>
      <c r="H401" s="7">
        <v>0</v>
      </c>
      <c r="I401" s="7">
        <v>125392.02499999999</v>
      </c>
      <c r="J401" s="7">
        <v>2517871.8619999997</v>
      </c>
    </row>
    <row r="402" spans="1:10" ht="13.8" outlineLevel="1" x14ac:dyDescent="0.3">
      <c r="A402" s="3"/>
      <c r="B402" s="4"/>
      <c r="C402" s="4" t="s">
        <v>241</v>
      </c>
      <c r="D402" s="4"/>
      <c r="E402" s="12"/>
      <c r="F402" s="13"/>
      <c r="G402" s="13"/>
      <c r="H402" s="13"/>
      <c r="I402" s="13"/>
      <c r="J402" s="13">
        <v>673471030.50014758</v>
      </c>
    </row>
    <row r="403" spans="1:10" ht="13.2" outlineLevel="1" x14ac:dyDescent="0.3">
      <c r="A403" s="14"/>
      <c r="B403" s="15"/>
      <c r="C403" s="16" t="s">
        <v>242</v>
      </c>
      <c r="D403" s="16"/>
      <c r="E403" s="17"/>
      <c r="F403" s="18"/>
      <c r="G403" s="18"/>
      <c r="H403" s="18"/>
      <c r="I403" s="18"/>
      <c r="J403" s="19">
        <v>163605553210</v>
      </c>
    </row>
    <row r="404" spans="1:10" ht="30" customHeight="1" outlineLevel="1" x14ac:dyDescent="0.3">
      <c r="A404" s="20" t="s">
        <v>243</v>
      </c>
      <c r="B404" s="21"/>
      <c r="C404" s="22"/>
      <c r="D404" s="21"/>
      <c r="E404" s="23"/>
      <c r="F404" s="22"/>
      <c r="G404" s="22"/>
      <c r="H404" s="22"/>
      <c r="I404" s="22"/>
      <c r="J404" s="24"/>
    </row>
    <row r="405" spans="1:10" ht="26.25" customHeight="1" outlineLevel="1" x14ac:dyDescent="0.3">
      <c r="A405" s="25" t="s">
        <v>463</v>
      </c>
      <c r="B405" s="26"/>
      <c r="C405" s="27"/>
      <c r="D405" s="26"/>
      <c r="E405" s="27"/>
      <c r="F405" s="27"/>
      <c r="G405" s="27"/>
      <c r="H405" s="27"/>
      <c r="I405" s="27"/>
      <c r="J405" s="27"/>
    </row>
    <row r="406" spans="1:10" ht="30" customHeight="1" outlineLevel="1" x14ac:dyDescent="0.3">
      <c r="A406" s="28" t="s">
        <v>464</v>
      </c>
      <c r="B406" s="26"/>
      <c r="C406" s="27"/>
      <c r="D406" s="26"/>
      <c r="E406" s="27"/>
      <c r="F406" s="27"/>
      <c r="G406" s="27"/>
      <c r="H406" s="27"/>
      <c r="I406" s="27"/>
      <c r="J406" s="27"/>
    </row>
    <row r="407" spans="1:10" ht="37.5" customHeight="1" outlineLevel="1" x14ac:dyDescent="0.3">
      <c r="A407" s="29" t="s">
        <v>465</v>
      </c>
      <c r="B407" s="26"/>
      <c r="C407" s="27"/>
      <c r="D407" s="26"/>
      <c r="E407" s="27"/>
      <c r="F407" s="27"/>
      <c r="G407" s="27"/>
      <c r="H407" s="27"/>
      <c r="I407" s="27"/>
      <c r="J407" s="27"/>
    </row>
    <row r="408" spans="1:10" ht="30" customHeight="1" outlineLevel="1" x14ac:dyDescent="0.3">
      <c r="A408" s="1" t="s">
        <v>0</v>
      </c>
      <c r="B408" s="2" t="s">
        <v>1</v>
      </c>
      <c r="C408" s="2" t="s">
        <v>2</v>
      </c>
      <c r="D408" s="2" t="s">
        <v>3</v>
      </c>
      <c r="E408" s="2" t="s">
        <v>4</v>
      </c>
      <c r="F408" s="2" t="s">
        <v>305</v>
      </c>
      <c r="G408" s="2" t="s">
        <v>306</v>
      </c>
      <c r="H408" s="2" t="s">
        <v>307</v>
      </c>
      <c r="I408" s="2" t="s">
        <v>308</v>
      </c>
      <c r="J408" s="2" t="s">
        <v>309</v>
      </c>
    </row>
    <row r="409" spans="1:10" ht="13.8" x14ac:dyDescent="0.3">
      <c r="A409" s="3"/>
      <c r="B409" s="4" t="s">
        <v>310</v>
      </c>
      <c r="C409" s="5" t="s">
        <v>244</v>
      </c>
      <c r="D409" s="4">
        <v>0</v>
      </c>
      <c r="E409" s="6">
        <v>0</v>
      </c>
      <c r="F409" s="7"/>
      <c r="G409" s="7"/>
      <c r="H409" s="7"/>
      <c r="I409" s="7"/>
      <c r="J409" s="7"/>
    </row>
    <row r="410" spans="1:10" ht="27.6" outlineLevel="1" x14ac:dyDescent="0.3">
      <c r="A410" s="8">
        <v>1</v>
      </c>
      <c r="B410" s="9" t="s">
        <v>466</v>
      </c>
      <c r="C410" s="10" t="s">
        <v>245</v>
      </c>
      <c r="D410" s="9" t="s">
        <v>312</v>
      </c>
      <c r="E410" s="11">
        <v>122.6345</v>
      </c>
      <c r="F410" s="7">
        <v>0</v>
      </c>
      <c r="G410" s="7">
        <v>911648.64</v>
      </c>
      <c r="H410" s="7">
        <v>1064707.6200000001</v>
      </c>
      <c r="I410" s="7">
        <v>2478193.1356282649</v>
      </c>
      <c r="J410" s="7">
        <v>303911976.09120446</v>
      </c>
    </row>
    <row r="411" spans="1:10" ht="27.6" outlineLevel="1" x14ac:dyDescent="0.3">
      <c r="A411" s="8">
        <v>2</v>
      </c>
      <c r="B411" s="9" t="s">
        <v>313</v>
      </c>
      <c r="C411" s="10" t="s">
        <v>7</v>
      </c>
      <c r="D411" s="9" t="s">
        <v>312</v>
      </c>
      <c r="E411" s="11">
        <v>122.6345</v>
      </c>
      <c r="F411" s="7">
        <v>0</v>
      </c>
      <c r="G411" s="7">
        <v>0</v>
      </c>
      <c r="H411" s="7">
        <v>1607259.9850000001</v>
      </c>
      <c r="I411" s="7">
        <v>2015375.8422061962</v>
      </c>
      <c r="J411" s="7">
        <v>247154608.72103578</v>
      </c>
    </row>
    <row r="412" spans="1:10" ht="27.6" outlineLevel="1" x14ac:dyDescent="0.3">
      <c r="A412" s="8">
        <v>3</v>
      </c>
      <c r="B412" s="9" t="s">
        <v>314</v>
      </c>
      <c r="C412" s="10" t="s">
        <v>8</v>
      </c>
      <c r="D412" s="9" t="s">
        <v>315</v>
      </c>
      <c r="E412" s="11">
        <v>122.6345</v>
      </c>
      <c r="F412" s="7">
        <v>0</v>
      </c>
      <c r="G412" s="7">
        <v>0</v>
      </c>
      <c r="H412" s="7">
        <v>2457916.44</v>
      </c>
      <c r="I412" s="7">
        <v>3082031.1969239097</v>
      </c>
      <c r="J412" s="7">
        <v>377963354.81916523</v>
      </c>
    </row>
    <row r="413" spans="1:10" ht="27.6" outlineLevel="1" x14ac:dyDescent="0.3">
      <c r="A413" s="8">
        <v>4</v>
      </c>
      <c r="B413" s="9" t="s">
        <v>316</v>
      </c>
      <c r="C413" s="10" t="s">
        <v>9</v>
      </c>
      <c r="D413" s="9" t="s">
        <v>315</v>
      </c>
      <c r="E413" s="11">
        <v>122.6345</v>
      </c>
      <c r="F413" s="7">
        <v>0</v>
      </c>
      <c r="G413" s="7">
        <v>0</v>
      </c>
      <c r="H413" s="7">
        <v>8385340.7799999993</v>
      </c>
      <c r="I413" s="7">
        <v>10514548.607192796</v>
      </c>
      <c r="J413" s="7">
        <v>1289446411.1687849</v>
      </c>
    </row>
    <row r="414" spans="1:10" ht="13.8" outlineLevel="1" x14ac:dyDescent="0.3">
      <c r="A414" s="8">
        <v>5</v>
      </c>
      <c r="B414" s="9" t="s">
        <v>317</v>
      </c>
      <c r="C414" s="10" t="s">
        <v>10</v>
      </c>
      <c r="D414" s="9" t="s">
        <v>312</v>
      </c>
      <c r="E414" s="11">
        <v>122.6345</v>
      </c>
      <c r="F414" s="7">
        <v>0</v>
      </c>
      <c r="G414" s="7">
        <v>0</v>
      </c>
      <c r="H414" s="7">
        <v>175127.61199999999</v>
      </c>
      <c r="I414" s="7">
        <v>219596.05902094301</v>
      </c>
      <c r="J414" s="7">
        <v>26930052.900003836</v>
      </c>
    </row>
    <row r="415" spans="1:10" ht="27.6" outlineLevel="1" x14ac:dyDescent="0.3">
      <c r="A415" s="8">
        <v>6</v>
      </c>
      <c r="B415" s="9" t="s">
        <v>466</v>
      </c>
      <c r="C415" s="10" t="s">
        <v>246</v>
      </c>
      <c r="D415" s="9" t="s">
        <v>312</v>
      </c>
      <c r="E415" s="11">
        <v>14.038800000000002</v>
      </c>
      <c r="F415" s="7">
        <v>0</v>
      </c>
      <c r="G415" s="7">
        <v>911648.64</v>
      </c>
      <c r="H415" s="7">
        <v>1064707.6200000001</v>
      </c>
      <c r="I415" s="7">
        <v>2478193.1356282649</v>
      </c>
      <c r="J415" s="7">
        <v>34790857.792458087</v>
      </c>
    </row>
    <row r="416" spans="1:10" ht="27.6" outlineLevel="1" x14ac:dyDescent="0.3">
      <c r="A416" s="8">
        <v>7</v>
      </c>
      <c r="B416" s="9" t="s">
        <v>313</v>
      </c>
      <c r="C416" s="10" t="s">
        <v>7</v>
      </c>
      <c r="D416" s="9" t="s">
        <v>312</v>
      </c>
      <c r="E416" s="11">
        <v>14.038800000000002</v>
      </c>
      <c r="F416" s="7">
        <v>0</v>
      </c>
      <c r="G416" s="7">
        <v>0</v>
      </c>
      <c r="H416" s="7">
        <v>1607259.9850000001</v>
      </c>
      <c r="I416" s="7">
        <v>2015375.8422061962</v>
      </c>
      <c r="J416" s="7">
        <v>28293458.373564351</v>
      </c>
    </row>
    <row r="417" spans="1:10" ht="27.6" outlineLevel="1" x14ac:dyDescent="0.3">
      <c r="A417" s="8">
        <v>8</v>
      </c>
      <c r="B417" s="9" t="s">
        <v>314</v>
      </c>
      <c r="C417" s="10" t="s">
        <v>8</v>
      </c>
      <c r="D417" s="9" t="s">
        <v>315</v>
      </c>
      <c r="E417" s="11">
        <v>14.038800000000002</v>
      </c>
      <c r="F417" s="7">
        <v>0</v>
      </c>
      <c r="G417" s="7">
        <v>0</v>
      </c>
      <c r="H417" s="7">
        <v>2457916.44</v>
      </c>
      <c r="I417" s="7">
        <v>3082031.1969239097</v>
      </c>
      <c r="J417" s="7">
        <v>43268019.567375392</v>
      </c>
    </row>
    <row r="418" spans="1:10" ht="27.6" outlineLevel="1" x14ac:dyDescent="0.3">
      <c r="A418" s="8">
        <v>9</v>
      </c>
      <c r="B418" s="9" t="s">
        <v>316</v>
      </c>
      <c r="C418" s="10" t="s">
        <v>9</v>
      </c>
      <c r="D418" s="9" t="s">
        <v>315</v>
      </c>
      <c r="E418" s="11">
        <v>14.038800000000002</v>
      </c>
      <c r="F418" s="7">
        <v>0</v>
      </c>
      <c r="G418" s="7">
        <v>0</v>
      </c>
      <c r="H418" s="7">
        <v>8385340.7799999993</v>
      </c>
      <c r="I418" s="7">
        <v>10514548.607192796</v>
      </c>
      <c r="J418" s="7">
        <v>147611644.98665825</v>
      </c>
    </row>
    <row r="419" spans="1:10" ht="13.8" outlineLevel="1" x14ac:dyDescent="0.3">
      <c r="A419" s="8">
        <v>10</v>
      </c>
      <c r="B419" s="9" t="s">
        <v>317</v>
      </c>
      <c r="C419" s="10" t="s">
        <v>10</v>
      </c>
      <c r="D419" s="9" t="s">
        <v>312</v>
      </c>
      <c r="E419" s="11">
        <v>14.038800000000002</v>
      </c>
      <c r="F419" s="7">
        <v>0</v>
      </c>
      <c r="G419" s="7">
        <v>0</v>
      </c>
      <c r="H419" s="7">
        <v>175127.61199999999</v>
      </c>
      <c r="I419" s="7">
        <v>219596.05902094301</v>
      </c>
      <c r="J419" s="7">
        <v>3082865.153383215</v>
      </c>
    </row>
    <row r="420" spans="1:10" ht="27.6" outlineLevel="1" x14ac:dyDescent="0.3">
      <c r="A420" s="8">
        <v>11</v>
      </c>
      <c r="B420" s="9" t="s">
        <v>466</v>
      </c>
      <c r="C420" s="10" t="s">
        <v>247</v>
      </c>
      <c r="D420" s="9" t="s">
        <v>312</v>
      </c>
      <c r="E420" s="11">
        <v>13.59</v>
      </c>
      <c r="F420" s="7">
        <v>0</v>
      </c>
      <c r="G420" s="7">
        <v>911648.64</v>
      </c>
      <c r="H420" s="7">
        <v>1064707.6200000001</v>
      </c>
      <c r="I420" s="7">
        <v>2478193.1356282649</v>
      </c>
      <c r="J420" s="7">
        <v>33678644.713188119</v>
      </c>
    </row>
    <row r="421" spans="1:10" ht="27.6" outlineLevel="1" x14ac:dyDescent="0.3">
      <c r="A421" s="8">
        <v>12</v>
      </c>
      <c r="B421" s="9" t="s">
        <v>313</v>
      </c>
      <c r="C421" s="10" t="s">
        <v>7</v>
      </c>
      <c r="D421" s="9" t="s">
        <v>312</v>
      </c>
      <c r="E421" s="11">
        <v>13.59</v>
      </c>
      <c r="F421" s="7">
        <v>0</v>
      </c>
      <c r="G421" s="7">
        <v>0</v>
      </c>
      <c r="H421" s="7">
        <v>1607259.9850000001</v>
      </c>
      <c r="I421" s="7">
        <v>2015375.8422061962</v>
      </c>
      <c r="J421" s="7">
        <v>27388957.695582207</v>
      </c>
    </row>
    <row r="422" spans="1:10" ht="27.6" outlineLevel="1" x14ac:dyDescent="0.3">
      <c r="A422" s="8">
        <v>13</v>
      </c>
      <c r="B422" s="9" t="s">
        <v>314</v>
      </c>
      <c r="C422" s="10" t="s">
        <v>8</v>
      </c>
      <c r="D422" s="9" t="s">
        <v>315</v>
      </c>
      <c r="E422" s="11">
        <v>13.59</v>
      </c>
      <c r="F422" s="7">
        <v>0</v>
      </c>
      <c r="G422" s="7">
        <v>0</v>
      </c>
      <c r="H422" s="7">
        <v>2457916.44</v>
      </c>
      <c r="I422" s="7">
        <v>3082031.1969239097</v>
      </c>
      <c r="J422" s="7">
        <v>41884803.966195934</v>
      </c>
    </row>
    <row r="423" spans="1:10" ht="27.6" outlineLevel="1" x14ac:dyDescent="0.3">
      <c r="A423" s="8">
        <v>14</v>
      </c>
      <c r="B423" s="9" t="s">
        <v>316</v>
      </c>
      <c r="C423" s="10" t="s">
        <v>9</v>
      </c>
      <c r="D423" s="9" t="s">
        <v>315</v>
      </c>
      <c r="E423" s="11">
        <v>13.59</v>
      </c>
      <c r="F423" s="7">
        <v>0</v>
      </c>
      <c r="G423" s="7">
        <v>0</v>
      </c>
      <c r="H423" s="7">
        <v>8385340.7799999993</v>
      </c>
      <c r="I423" s="7">
        <v>10514548.607192796</v>
      </c>
      <c r="J423" s="7">
        <v>142892715.5717501</v>
      </c>
    </row>
    <row r="424" spans="1:10" ht="13.8" outlineLevel="1" x14ac:dyDescent="0.3">
      <c r="A424" s="8">
        <v>15</v>
      </c>
      <c r="B424" s="9" t="s">
        <v>317</v>
      </c>
      <c r="C424" s="10" t="s">
        <v>10</v>
      </c>
      <c r="D424" s="9" t="s">
        <v>312</v>
      </c>
      <c r="E424" s="11">
        <v>13.59</v>
      </c>
      <c r="F424" s="7">
        <v>0</v>
      </c>
      <c r="G424" s="7">
        <v>0</v>
      </c>
      <c r="H424" s="7">
        <v>175127.61199999999</v>
      </c>
      <c r="I424" s="7">
        <v>219596.05902094301</v>
      </c>
      <c r="J424" s="7">
        <v>2984310.4420946157</v>
      </c>
    </row>
    <row r="425" spans="1:10" ht="27.6" outlineLevel="1" x14ac:dyDescent="0.3">
      <c r="A425" s="8">
        <v>16</v>
      </c>
      <c r="B425" s="9" t="s">
        <v>467</v>
      </c>
      <c r="C425" s="10" t="s">
        <v>248</v>
      </c>
      <c r="D425" s="9" t="s">
        <v>312</v>
      </c>
      <c r="E425" s="11">
        <v>2.5069999999999997</v>
      </c>
      <c r="F425" s="7">
        <v>0</v>
      </c>
      <c r="G425" s="7">
        <v>1294215.48</v>
      </c>
      <c r="H425" s="7">
        <v>1827570.263</v>
      </c>
      <c r="I425" s="7">
        <v>3914470.3593089953</v>
      </c>
      <c r="J425" s="7">
        <v>9813577.1907876506</v>
      </c>
    </row>
    <row r="426" spans="1:10" ht="27.6" outlineLevel="1" x14ac:dyDescent="0.3">
      <c r="A426" s="8">
        <v>17</v>
      </c>
      <c r="B426" s="9" t="s">
        <v>319</v>
      </c>
      <c r="C426" s="10" t="s">
        <v>27</v>
      </c>
      <c r="D426" s="9" t="s">
        <v>312</v>
      </c>
      <c r="E426" s="11">
        <v>2.5069999999999997</v>
      </c>
      <c r="F426" s="7">
        <v>0</v>
      </c>
      <c r="G426" s="7">
        <v>0</v>
      </c>
      <c r="H426" s="7">
        <v>2056623.96</v>
      </c>
      <c r="I426" s="7">
        <v>2578842.4300791896</v>
      </c>
      <c r="J426" s="7">
        <v>6465157.9722085278</v>
      </c>
    </row>
    <row r="427" spans="1:10" ht="27.6" outlineLevel="1" x14ac:dyDescent="0.3">
      <c r="A427" s="8">
        <v>18</v>
      </c>
      <c r="B427" s="9" t="s">
        <v>320</v>
      </c>
      <c r="C427" s="10" t="s">
        <v>28</v>
      </c>
      <c r="D427" s="9" t="s">
        <v>315</v>
      </c>
      <c r="E427" s="11">
        <v>2.5069999999999997</v>
      </c>
      <c r="F427" s="7">
        <v>0</v>
      </c>
      <c r="G427" s="7">
        <v>0</v>
      </c>
      <c r="H427" s="7">
        <v>3034774.38</v>
      </c>
      <c r="I427" s="7">
        <v>3805365.0492631951</v>
      </c>
      <c r="J427" s="7">
        <v>9540050.1785028297</v>
      </c>
    </row>
    <row r="428" spans="1:10" ht="27.6" outlineLevel="1" x14ac:dyDescent="0.3">
      <c r="A428" s="8">
        <v>19</v>
      </c>
      <c r="B428" s="9" t="s">
        <v>321</v>
      </c>
      <c r="C428" s="10" t="s">
        <v>29</v>
      </c>
      <c r="D428" s="9" t="s">
        <v>315</v>
      </c>
      <c r="E428" s="11">
        <v>2.5069999999999997</v>
      </c>
      <c r="F428" s="7">
        <v>0</v>
      </c>
      <c r="G428" s="7">
        <v>0</v>
      </c>
      <c r="H428" s="7">
        <v>10410613.764999999</v>
      </c>
      <c r="I428" s="7">
        <v>13054079.414862242</v>
      </c>
      <c r="J428" s="7">
        <v>32726577.093059637</v>
      </c>
    </row>
    <row r="429" spans="1:10" ht="13.8" outlineLevel="1" x14ac:dyDescent="0.3">
      <c r="A429" s="8">
        <v>20</v>
      </c>
      <c r="B429" s="9" t="s">
        <v>317</v>
      </c>
      <c r="C429" s="10" t="s">
        <v>10</v>
      </c>
      <c r="D429" s="9" t="s">
        <v>312</v>
      </c>
      <c r="E429" s="11">
        <v>2.5069999999999997</v>
      </c>
      <c r="F429" s="7">
        <v>0</v>
      </c>
      <c r="G429" s="7">
        <v>0</v>
      </c>
      <c r="H429" s="7">
        <v>175127.61199999999</v>
      </c>
      <c r="I429" s="7">
        <v>219596.05902094301</v>
      </c>
      <c r="J429" s="7">
        <v>550527.31996550399</v>
      </c>
    </row>
    <row r="430" spans="1:10" ht="27.6" outlineLevel="1" x14ac:dyDescent="0.3">
      <c r="A430" s="8">
        <v>21</v>
      </c>
      <c r="B430" s="9" t="s">
        <v>468</v>
      </c>
      <c r="C430" s="10" t="s">
        <v>249</v>
      </c>
      <c r="D430" s="9" t="s">
        <v>325</v>
      </c>
      <c r="E430" s="11">
        <v>1331.69</v>
      </c>
      <c r="F430" s="7">
        <v>0</v>
      </c>
      <c r="G430" s="7">
        <v>295743.16000000003</v>
      </c>
      <c r="H430" s="7">
        <v>0</v>
      </c>
      <c r="I430" s="7">
        <v>370838.33712299005</v>
      </c>
      <c r="J430" s="7">
        <v>493841705.16331464</v>
      </c>
    </row>
    <row r="431" spans="1:10" ht="27.6" outlineLevel="1" x14ac:dyDescent="0.3">
      <c r="A431" s="8">
        <v>22</v>
      </c>
      <c r="B431" s="9" t="s">
        <v>466</v>
      </c>
      <c r="C431" s="10" t="s">
        <v>250</v>
      </c>
      <c r="D431" s="9" t="s">
        <v>312</v>
      </c>
      <c r="E431" s="11">
        <v>3.5272000000000001</v>
      </c>
      <c r="F431" s="7">
        <v>0</v>
      </c>
      <c r="G431" s="7">
        <v>911648.64</v>
      </c>
      <c r="H431" s="7">
        <v>1064707.6200000001</v>
      </c>
      <c r="I431" s="7">
        <v>2478193.1356282649</v>
      </c>
      <c r="J431" s="7">
        <v>8741082.8279880155</v>
      </c>
    </row>
    <row r="432" spans="1:10" ht="27.6" outlineLevel="1" x14ac:dyDescent="0.3">
      <c r="A432" s="8">
        <v>23</v>
      </c>
      <c r="B432" s="9" t="s">
        <v>313</v>
      </c>
      <c r="C432" s="10" t="s">
        <v>7</v>
      </c>
      <c r="D432" s="9" t="s">
        <v>312</v>
      </c>
      <c r="E432" s="11">
        <v>15.607993</v>
      </c>
      <c r="F432" s="7">
        <v>0</v>
      </c>
      <c r="G432" s="7">
        <v>0</v>
      </c>
      <c r="H432" s="7">
        <v>1607259.9850000001</v>
      </c>
      <c r="I432" s="7">
        <v>2015375.8422061962</v>
      </c>
      <c r="J432" s="7">
        <v>31455972.037523415</v>
      </c>
    </row>
    <row r="433" spans="1:10" ht="27.6" outlineLevel="1" x14ac:dyDescent="0.3">
      <c r="A433" s="8">
        <v>24</v>
      </c>
      <c r="B433" s="9" t="s">
        <v>314</v>
      </c>
      <c r="C433" s="10" t="s">
        <v>8</v>
      </c>
      <c r="D433" s="9" t="s">
        <v>315</v>
      </c>
      <c r="E433" s="11">
        <v>15.607993</v>
      </c>
      <c r="F433" s="7">
        <v>0</v>
      </c>
      <c r="G433" s="7">
        <v>0</v>
      </c>
      <c r="H433" s="7">
        <v>2457916.44</v>
      </c>
      <c r="I433" s="7">
        <v>3082031.1969239097</v>
      </c>
      <c r="J433" s="7">
        <v>48104321.347370006</v>
      </c>
    </row>
    <row r="434" spans="1:10" ht="27.6" outlineLevel="1" x14ac:dyDescent="0.3">
      <c r="A434" s="8">
        <v>25</v>
      </c>
      <c r="B434" s="9" t="s">
        <v>316</v>
      </c>
      <c r="C434" s="10" t="s">
        <v>9</v>
      </c>
      <c r="D434" s="9" t="s">
        <v>315</v>
      </c>
      <c r="E434" s="11">
        <v>15.607993</v>
      </c>
      <c r="F434" s="7">
        <v>0</v>
      </c>
      <c r="G434" s="7">
        <v>0</v>
      </c>
      <c r="H434" s="7">
        <v>8385340.7799999993</v>
      </c>
      <c r="I434" s="7">
        <v>10514548.607192796</v>
      </c>
      <c r="J434" s="7">
        <v>164111001.0592249</v>
      </c>
    </row>
    <row r="435" spans="1:10" ht="13.8" outlineLevel="1" x14ac:dyDescent="0.3">
      <c r="A435" s="8">
        <v>26</v>
      </c>
      <c r="B435" s="9" t="s">
        <v>317</v>
      </c>
      <c r="C435" s="10" t="s">
        <v>10</v>
      </c>
      <c r="D435" s="9" t="s">
        <v>312</v>
      </c>
      <c r="E435" s="11">
        <v>15.607993</v>
      </c>
      <c r="F435" s="7">
        <v>0</v>
      </c>
      <c r="G435" s="7">
        <v>0</v>
      </c>
      <c r="H435" s="7">
        <v>175127.61199999999</v>
      </c>
      <c r="I435" s="7">
        <v>219596.05902094301</v>
      </c>
      <c r="J435" s="7">
        <v>3427453.7520264653</v>
      </c>
    </row>
    <row r="436" spans="1:10" ht="41.4" outlineLevel="1" x14ac:dyDescent="0.3">
      <c r="A436" s="8">
        <v>27</v>
      </c>
      <c r="B436" s="9" t="s">
        <v>469</v>
      </c>
      <c r="C436" s="10" t="s">
        <v>251</v>
      </c>
      <c r="D436" s="9" t="s">
        <v>312</v>
      </c>
      <c r="E436" s="11">
        <v>1.0939000000000001</v>
      </c>
      <c r="F436" s="7">
        <v>0</v>
      </c>
      <c r="G436" s="7">
        <v>447684.6</v>
      </c>
      <c r="H436" s="7">
        <v>862193.24205</v>
      </c>
      <c r="I436" s="7">
        <v>1642482.3511727967</v>
      </c>
      <c r="J436" s="7">
        <v>1796711.4439479224</v>
      </c>
    </row>
    <row r="437" spans="1:10" ht="27.6" outlineLevel="1" x14ac:dyDescent="0.3">
      <c r="A437" s="8">
        <v>28</v>
      </c>
      <c r="B437" s="9" t="s">
        <v>470</v>
      </c>
      <c r="C437" s="10" t="s">
        <v>252</v>
      </c>
      <c r="D437" s="9" t="s">
        <v>325</v>
      </c>
      <c r="E437" s="11">
        <v>180.24</v>
      </c>
      <c r="F437" s="7">
        <v>1147627.316072125</v>
      </c>
      <c r="G437" s="7">
        <v>411685.00000000006</v>
      </c>
      <c r="H437" s="7">
        <v>90995.939099999989</v>
      </c>
      <c r="I437" s="7">
        <v>2069354.9399024951</v>
      </c>
      <c r="J437" s="7">
        <v>372980534.36802572</v>
      </c>
    </row>
    <row r="438" spans="1:10" ht="13.8" outlineLevel="1" x14ac:dyDescent="0.3">
      <c r="A438" s="8">
        <v>29</v>
      </c>
      <c r="B438" s="9" t="s">
        <v>471</v>
      </c>
      <c r="C438" s="10" t="s">
        <v>253</v>
      </c>
      <c r="D438" s="9" t="s">
        <v>345</v>
      </c>
      <c r="E438" s="11">
        <v>1.3940000000000001</v>
      </c>
      <c r="F438" s="7">
        <v>496640.31900000002</v>
      </c>
      <c r="G438" s="7">
        <v>3751311.5</v>
      </c>
      <c r="H438" s="7">
        <v>200586.30479999998</v>
      </c>
      <c r="I438" s="7">
        <v>5578112.0363298273</v>
      </c>
      <c r="J438" s="7">
        <v>7775888.1786437798</v>
      </c>
    </row>
    <row r="439" spans="1:10" ht="13.8" outlineLevel="1" x14ac:dyDescent="0.3">
      <c r="A439" s="8">
        <v>30</v>
      </c>
      <c r="B439" s="9" t="s">
        <v>414</v>
      </c>
      <c r="C439" s="10" t="s">
        <v>254</v>
      </c>
      <c r="D439" s="9" t="s">
        <v>345</v>
      </c>
      <c r="E439" s="11">
        <v>3.0898000000000003</v>
      </c>
      <c r="F439" s="7">
        <v>159157.68</v>
      </c>
      <c r="G439" s="7">
        <v>45075</v>
      </c>
      <c r="H439" s="7">
        <v>0</v>
      </c>
      <c r="I439" s="7">
        <v>256091.49316377001</v>
      </c>
      <c r="J439" s="7">
        <v>791271.49557741662</v>
      </c>
    </row>
    <row r="440" spans="1:10" ht="27.6" outlineLevel="1" x14ac:dyDescent="0.3">
      <c r="A440" s="8">
        <v>31</v>
      </c>
      <c r="B440" s="9" t="s">
        <v>472</v>
      </c>
      <c r="C440" s="10" t="s">
        <v>255</v>
      </c>
      <c r="D440" s="9" t="s">
        <v>312</v>
      </c>
      <c r="E440" s="11">
        <v>0.309</v>
      </c>
      <c r="F440" s="7">
        <v>32890970</v>
      </c>
      <c r="G440" s="7">
        <v>686997.5</v>
      </c>
      <c r="H440" s="7">
        <v>2382641.1912750001</v>
      </c>
      <c r="I440" s="7">
        <v>45091735.440315723</v>
      </c>
      <c r="J440" s="7">
        <v>13933346.251057558</v>
      </c>
    </row>
    <row r="441" spans="1:10" ht="27.6" outlineLevel="1" x14ac:dyDescent="0.3">
      <c r="A441" s="8">
        <v>32</v>
      </c>
      <c r="B441" s="9" t="s">
        <v>398</v>
      </c>
      <c r="C441" s="10" t="s">
        <v>256</v>
      </c>
      <c r="D441" s="9" t="s">
        <v>325</v>
      </c>
      <c r="E441" s="11">
        <v>92.69</v>
      </c>
      <c r="F441" s="7">
        <v>969502.72392050002</v>
      </c>
      <c r="G441" s="7">
        <v>498830</v>
      </c>
      <c r="H441" s="7">
        <v>61812.876999999993</v>
      </c>
      <c r="I441" s="7">
        <v>1918680.5544426336</v>
      </c>
      <c r="J441" s="7">
        <v>177842500.5912877</v>
      </c>
    </row>
    <row r="442" spans="1:10" ht="13.8" outlineLevel="1" x14ac:dyDescent="0.3">
      <c r="A442" s="8">
        <v>33</v>
      </c>
      <c r="B442" s="9" t="s">
        <v>344</v>
      </c>
      <c r="C442" s="10" t="s">
        <v>54</v>
      </c>
      <c r="D442" s="9" t="s">
        <v>345</v>
      </c>
      <c r="E442" s="11">
        <v>3.2787000000000002</v>
      </c>
      <c r="F442" s="7">
        <v>1302754.74</v>
      </c>
      <c r="G442" s="7">
        <v>3995962.25</v>
      </c>
      <c r="H442" s="7">
        <v>391620.88079999998</v>
      </c>
      <c r="I442" s="7">
        <v>7135229.8855380043</v>
      </c>
      <c r="J442" s="7">
        <v>23394278.225713454</v>
      </c>
    </row>
    <row r="443" spans="1:10" ht="13.8" outlineLevel="1" x14ac:dyDescent="0.3">
      <c r="A443" s="8">
        <v>34</v>
      </c>
      <c r="B443" s="9" t="s">
        <v>385</v>
      </c>
      <c r="C443" s="10" t="s">
        <v>257</v>
      </c>
      <c r="D443" s="9" t="s">
        <v>325</v>
      </c>
      <c r="E443" s="11">
        <v>0.1</v>
      </c>
      <c r="F443" s="7">
        <v>16000000</v>
      </c>
      <c r="G443" s="7">
        <v>0</v>
      </c>
      <c r="H443" s="7">
        <v>0</v>
      </c>
      <c r="I443" s="7">
        <v>20062724</v>
      </c>
      <c r="J443" s="7">
        <v>2006272.4000000001</v>
      </c>
    </row>
    <row r="444" spans="1:10" ht="13.8" outlineLevel="1" x14ac:dyDescent="0.3">
      <c r="A444" s="3"/>
      <c r="B444" s="4"/>
      <c r="C444" s="4" t="s">
        <v>258</v>
      </c>
      <c r="D444" s="4"/>
      <c r="E444" s="12"/>
      <c r="F444" s="13"/>
      <c r="G444" s="13"/>
      <c r="H444" s="13"/>
      <c r="I444" s="13"/>
      <c r="J444" s="13">
        <v>4160580910.8586702</v>
      </c>
    </row>
    <row r="445" spans="1:10" ht="26.4" x14ac:dyDescent="0.3">
      <c r="A445" s="3"/>
      <c r="B445" s="4" t="s">
        <v>310</v>
      </c>
      <c r="C445" s="5" t="s">
        <v>259</v>
      </c>
      <c r="D445" s="4">
        <v>0</v>
      </c>
      <c r="E445" s="6">
        <v>0</v>
      </c>
      <c r="F445" s="7"/>
      <c r="G445" s="7"/>
      <c r="H445" s="7"/>
      <c r="I445" s="7"/>
      <c r="J445" s="7"/>
    </row>
    <row r="446" spans="1:10" ht="27.6" outlineLevel="1" x14ac:dyDescent="0.3">
      <c r="A446" s="8">
        <v>35</v>
      </c>
      <c r="B446" s="9" t="s">
        <v>466</v>
      </c>
      <c r="C446" s="10" t="s">
        <v>245</v>
      </c>
      <c r="D446" s="9" t="s">
        <v>312</v>
      </c>
      <c r="E446" s="11">
        <v>71.707099999999997</v>
      </c>
      <c r="F446" s="7">
        <v>0</v>
      </c>
      <c r="G446" s="7">
        <v>911648.64</v>
      </c>
      <c r="H446" s="7">
        <v>1064707.6200000001</v>
      </c>
      <c r="I446" s="7">
        <v>2478193.1356282649</v>
      </c>
      <c r="J446" s="7">
        <v>177704042.99580956</v>
      </c>
    </row>
    <row r="447" spans="1:10" ht="27.6" outlineLevel="1" x14ac:dyDescent="0.3">
      <c r="A447" s="8">
        <v>36</v>
      </c>
      <c r="B447" s="9" t="s">
        <v>313</v>
      </c>
      <c r="C447" s="10" t="s">
        <v>7</v>
      </c>
      <c r="D447" s="9" t="s">
        <v>312</v>
      </c>
      <c r="E447" s="11">
        <v>71.707099999999997</v>
      </c>
      <c r="F447" s="7">
        <v>0</v>
      </c>
      <c r="G447" s="7">
        <v>0</v>
      </c>
      <c r="H447" s="7">
        <v>1607259.9850000001</v>
      </c>
      <c r="I447" s="7">
        <v>2015375.8422061962</v>
      </c>
      <c r="J447" s="7">
        <v>144516757.05466393</v>
      </c>
    </row>
    <row r="448" spans="1:10" ht="27.6" outlineLevel="1" x14ac:dyDescent="0.3">
      <c r="A448" s="8">
        <v>37</v>
      </c>
      <c r="B448" s="9" t="s">
        <v>314</v>
      </c>
      <c r="C448" s="10" t="s">
        <v>8</v>
      </c>
      <c r="D448" s="9" t="s">
        <v>315</v>
      </c>
      <c r="E448" s="11">
        <v>71.707099999999997</v>
      </c>
      <c r="F448" s="7">
        <v>0</v>
      </c>
      <c r="G448" s="7">
        <v>0</v>
      </c>
      <c r="H448" s="7">
        <v>2457916.44</v>
      </c>
      <c r="I448" s="7">
        <v>3082031.1969239097</v>
      </c>
      <c r="J448" s="7">
        <v>221003519.24094248</v>
      </c>
    </row>
    <row r="449" spans="1:10" ht="27.6" outlineLevel="1" x14ac:dyDescent="0.3">
      <c r="A449" s="8">
        <v>38</v>
      </c>
      <c r="B449" s="9" t="s">
        <v>316</v>
      </c>
      <c r="C449" s="10" t="s">
        <v>9</v>
      </c>
      <c r="D449" s="9" t="s">
        <v>315</v>
      </c>
      <c r="E449" s="11">
        <v>71.707099999999997</v>
      </c>
      <c r="F449" s="7">
        <v>0</v>
      </c>
      <c r="G449" s="7">
        <v>0</v>
      </c>
      <c r="H449" s="7">
        <v>8385340.7799999993</v>
      </c>
      <c r="I449" s="7">
        <v>10514548.607192796</v>
      </c>
      <c r="J449" s="7">
        <v>753967788.43083453</v>
      </c>
    </row>
    <row r="450" spans="1:10" ht="13.8" outlineLevel="1" x14ac:dyDescent="0.3">
      <c r="A450" s="8">
        <v>39</v>
      </c>
      <c r="B450" s="9" t="s">
        <v>317</v>
      </c>
      <c r="C450" s="10" t="s">
        <v>10</v>
      </c>
      <c r="D450" s="9" t="s">
        <v>312</v>
      </c>
      <c r="E450" s="11">
        <v>71.707099999999997</v>
      </c>
      <c r="F450" s="7">
        <v>0</v>
      </c>
      <c r="G450" s="7">
        <v>0</v>
      </c>
      <c r="H450" s="7">
        <v>175127.61199999999</v>
      </c>
      <c r="I450" s="7">
        <v>219596.05902094301</v>
      </c>
      <c r="J450" s="7">
        <v>15746596.563820662</v>
      </c>
    </row>
    <row r="451" spans="1:10" ht="27.6" outlineLevel="1" x14ac:dyDescent="0.3">
      <c r="A451" s="8">
        <v>40</v>
      </c>
      <c r="B451" s="9" t="s">
        <v>466</v>
      </c>
      <c r="C451" s="10" t="s">
        <v>246</v>
      </c>
      <c r="D451" s="9" t="s">
        <v>312</v>
      </c>
      <c r="E451" s="11">
        <v>30.188200000000002</v>
      </c>
      <c r="F451" s="7">
        <v>0</v>
      </c>
      <c r="G451" s="7">
        <v>911648.64</v>
      </c>
      <c r="H451" s="7">
        <v>1064707.6200000001</v>
      </c>
      <c r="I451" s="7">
        <v>2478193.1356282649</v>
      </c>
      <c r="J451" s="7">
        <v>74812190.016973197</v>
      </c>
    </row>
    <row r="452" spans="1:10" ht="27.6" outlineLevel="1" x14ac:dyDescent="0.3">
      <c r="A452" s="8">
        <v>41</v>
      </c>
      <c r="B452" s="9" t="s">
        <v>313</v>
      </c>
      <c r="C452" s="10" t="s">
        <v>7</v>
      </c>
      <c r="D452" s="9" t="s">
        <v>312</v>
      </c>
      <c r="E452" s="11">
        <v>30.188200000000002</v>
      </c>
      <c r="F452" s="7">
        <v>0</v>
      </c>
      <c r="G452" s="7">
        <v>0</v>
      </c>
      <c r="H452" s="7">
        <v>1607259.9850000001</v>
      </c>
      <c r="I452" s="7">
        <v>2015375.8422061962</v>
      </c>
      <c r="J452" s="7">
        <v>60840568.999689095</v>
      </c>
    </row>
    <row r="453" spans="1:10" ht="27.6" outlineLevel="1" x14ac:dyDescent="0.3">
      <c r="A453" s="8">
        <v>42</v>
      </c>
      <c r="B453" s="9" t="s">
        <v>314</v>
      </c>
      <c r="C453" s="10" t="s">
        <v>8</v>
      </c>
      <c r="D453" s="9" t="s">
        <v>315</v>
      </c>
      <c r="E453" s="11">
        <v>30.188200000000002</v>
      </c>
      <c r="F453" s="7">
        <v>0</v>
      </c>
      <c r="G453" s="7">
        <v>0</v>
      </c>
      <c r="H453" s="7">
        <v>2457916.44</v>
      </c>
      <c r="I453" s="7">
        <v>3082031.1969239097</v>
      </c>
      <c r="J453" s="7">
        <v>93040974.178978384</v>
      </c>
    </row>
    <row r="454" spans="1:10" ht="27.6" outlineLevel="1" x14ac:dyDescent="0.3">
      <c r="A454" s="8">
        <v>43</v>
      </c>
      <c r="B454" s="9" t="s">
        <v>316</v>
      </c>
      <c r="C454" s="10" t="s">
        <v>9</v>
      </c>
      <c r="D454" s="9" t="s">
        <v>315</v>
      </c>
      <c r="E454" s="11">
        <v>30.188200000000002</v>
      </c>
      <c r="F454" s="7">
        <v>0</v>
      </c>
      <c r="G454" s="7">
        <v>0</v>
      </c>
      <c r="H454" s="7">
        <v>8385340.7799999993</v>
      </c>
      <c r="I454" s="7">
        <v>10514548.607192796</v>
      </c>
      <c r="J454" s="7">
        <v>317415296.26365757</v>
      </c>
    </row>
    <row r="455" spans="1:10" ht="13.8" outlineLevel="1" x14ac:dyDescent="0.3">
      <c r="A455" s="8">
        <v>44</v>
      </c>
      <c r="B455" s="9" t="s">
        <v>317</v>
      </c>
      <c r="C455" s="10" t="s">
        <v>10</v>
      </c>
      <c r="D455" s="9" t="s">
        <v>312</v>
      </c>
      <c r="E455" s="11">
        <v>30.188200000000002</v>
      </c>
      <c r="F455" s="7">
        <v>0</v>
      </c>
      <c r="G455" s="7">
        <v>0</v>
      </c>
      <c r="H455" s="7">
        <v>175127.61199999999</v>
      </c>
      <c r="I455" s="7">
        <v>219596.05902094301</v>
      </c>
      <c r="J455" s="7">
        <v>6629209.7489360319</v>
      </c>
    </row>
    <row r="456" spans="1:10" ht="27.6" outlineLevel="1" x14ac:dyDescent="0.3">
      <c r="A456" s="8">
        <v>45</v>
      </c>
      <c r="B456" s="9" t="s">
        <v>466</v>
      </c>
      <c r="C456" s="10" t="s">
        <v>247</v>
      </c>
      <c r="D456" s="9" t="s">
        <v>312</v>
      </c>
      <c r="E456" s="11">
        <v>57.479399999999998</v>
      </c>
      <c r="F456" s="7">
        <v>0</v>
      </c>
      <c r="G456" s="7">
        <v>911648.64</v>
      </c>
      <c r="H456" s="7">
        <v>1064707.6200000001</v>
      </c>
      <c r="I456" s="7">
        <v>2478193.1356282649</v>
      </c>
      <c r="J456" s="7">
        <v>142445054.52003127</v>
      </c>
    </row>
    <row r="457" spans="1:10" ht="27.6" outlineLevel="1" x14ac:dyDescent="0.3">
      <c r="A457" s="8">
        <v>46</v>
      </c>
      <c r="B457" s="9" t="s">
        <v>313</v>
      </c>
      <c r="C457" s="10" t="s">
        <v>7</v>
      </c>
      <c r="D457" s="9" t="s">
        <v>312</v>
      </c>
      <c r="E457" s="11">
        <v>57.479399999999998</v>
      </c>
      <c r="F457" s="7">
        <v>0</v>
      </c>
      <c r="G457" s="7">
        <v>0</v>
      </c>
      <c r="H457" s="7">
        <v>1607259.9850000001</v>
      </c>
      <c r="I457" s="7">
        <v>2015375.8422061962</v>
      </c>
      <c r="J457" s="7">
        <v>115842594.18450683</v>
      </c>
    </row>
    <row r="458" spans="1:10" ht="27.6" outlineLevel="1" x14ac:dyDescent="0.3">
      <c r="A458" s="8">
        <v>47</v>
      </c>
      <c r="B458" s="9" t="s">
        <v>314</v>
      </c>
      <c r="C458" s="10" t="s">
        <v>8</v>
      </c>
      <c r="D458" s="9" t="s">
        <v>315</v>
      </c>
      <c r="E458" s="11">
        <v>57.479399999999998</v>
      </c>
      <c r="F458" s="7">
        <v>0</v>
      </c>
      <c r="G458" s="7">
        <v>0</v>
      </c>
      <c r="H458" s="7">
        <v>2457916.44</v>
      </c>
      <c r="I458" s="7">
        <v>3082031.1969239097</v>
      </c>
      <c r="J458" s="7">
        <v>177153303.98046818</v>
      </c>
    </row>
    <row r="459" spans="1:10" ht="27.6" outlineLevel="1" x14ac:dyDescent="0.3">
      <c r="A459" s="8">
        <v>48</v>
      </c>
      <c r="B459" s="9" t="s">
        <v>316</v>
      </c>
      <c r="C459" s="10" t="s">
        <v>9</v>
      </c>
      <c r="D459" s="9" t="s">
        <v>315</v>
      </c>
      <c r="E459" s="11">
        <v>57.479399999999998</v>
      </c>
      <c r="F459" s="7">
        <v>0</v>
      </c>
      <c r="G459" s="7">
        <v>0</v>
      </c>
      <c r="H459" s="7">
        <v>8385340.7799999993</v>
      </c>
      <c r="I459" s="7">
        <v>10514548.607192796</v>
      </c>
      <c r="J459" s="7">
        <v>604369945.21227753</v>
      </c>
    </row>
    <row r="460" spans="1:10" ht="13.8" outlineLevel="1" x14ac:dyDescent="0.3">
      <c r="A460" s="8">
        <v>49</v>
      </c>
      <c r="B460" s="9" t="s">
        <v>317</v>
      </c>
      <c r="C460" s="10" t="s">
        <v>10</v>
      </c>
      <c r="D460" s="9" t="s">
        <v>312</v>
      </c>
      <c r="E460" s="11">
        <v>57.479399999999998</v>
      </c>
      <c r="F460" s="7">
        <v>0</v>
      </c>
      <c r="G460" s="7">
        <v>0</v>
      </c>
      <c r="H460" s="7">
        <v>175127.61199999999</v>
      </c>
      <c r="I460" s="7">
        <v>219596.05902094301</v>
      </c>
      <c r="J460" s="7">
        <v>12622249.714888392</v>
      </c>
    </row>
    <row r="461" spans="1:10" ht="27.6" outlineLevel="1" x14ac:dyDescent="0.3">
      <c r="A461" s="8">
        <v>50</v>
      </c>
      <c r="B461" s="9" t="s">
        <v>467</v>
      </c>
      <c r="C461" s="10" t="s">
        <v>260</v>
      </c>
      <c r="D461" s="9" t="s">
        <v>312</v>
      </c>
      <c r="E461" s="11">
        <v>45.371499999999997</v>
      </c>
      <c r="F461" s="7">
        <v>0</v>
      </c>
      <c r="G461" s="7">
        <v>1294215.48</v>
      </c>
      <c r="H461" s="7">
        <v>1827570.263</v>
      </c>
      <c r="I461" s="7">
        <v>3914470.3593089953</v>
      </c>
      <c r="J461" s="7">
        <v>177605391.90738806</v>
      </c>
    </row>
    <row r="462" spans="1:10" ht="27.6" outlineLevel="1" x14ac:dyDescent="0.3">
      <c r="A462" s="8">
        <v>51</v>
      </c>
      <c r="B462" s="9" t="s">
        <v>319</v>
      </c>
      <c r="C462" s="10" t="s">
        <v>27</v>
      </c>
      <c r="D462" s="9" t="s">
        <v>312</v>
      </c>
      <c r="E462" s="11">
        <v>45.371499999999997</v>
      </c>
      <c r="F462" s="7">
        <v>0</v>
      </c>
      <c r="G462" s="7">
        <v>0</v>
      </c>
      <c r="H462" s="7">
        <v>2056623.96</v>
      </c>
      <c r="I462" s="7">
        <v>2578842.4300791896</v>
      </c>
      <c r="J462" s="7">
        <v>117005949.31633794</v>
      </c>
    </row>
    <row r="463" spans="1:10" ht="27.6" outlineLevel="1" x14ac:dyDescent="0.3">
      <c r="A463" s="8">
        <v>52</v>
      </c>
      <c r="B463" s="9" t="s">
        <v>320</v>
      </c>
      <c r="C463" s="10" t="s">
        <v>28</v>
      </c>
      <c r="D463" s="9" t="s">
        <v>315</v>
      </c>
      <c r="E463" s="11">
        <v>45.371499999999997</v>
      </c>
      <c r="F463" s="7">
        <v>0</v>
      </c>
      <c r="G463" s="7">
        <v>0</v>
      </c>
      <c r="H463" s="7">
        <v>3034774.38</v>
      </c>
      <c r="I463" s="7">
        <v>3805365.0492631951</v>
      </c>
      <c r="J463" s="7">
        <v>172655120.33264506</v>
      </c>
    </row>
    <row r="464" spans="1:10" ht="27.6" outlineLevel="1" x14ac:dyDescent="0.3">
      <c r="A464" s="8">
        <v>53</v>
      </c>
      <c r="B464" s="9" t="s">
        <v>321</v>
      </c>
      <c r="C464" s="10" t="s">
        <v>29</v>
      </c>
      <c r="D464" s="9" t="s">
        <v>315</v>
      </c>
      <c r="E464" s="11">
        <v>45.371499999999997</v>
      </c>
      <c r="F464" s="7">
        <v>0</v>
      </c>
      <c r="G464" s="7">
        <v>0</v>
      </c>
      <c r="H464" s="7">
        <v>10410613.764999999</v>
      </c>
      <c r="I464" s="7">
        <v>13054079.414862242</v>
      </c>
      <c r="J464" s="7">
        <v>592283164.17142212</v>
      </c>
    </row>
    <row r="465" spans="1:10" ht="13.8" outlineLevel="1" x14ac:dyDescent="0.3">
      <c r="A465" s="8">
        <v>54</v>
      </c>
      <c r="B465" s="9" t="s">
        <v>317</v>
      </c>
      <c r="C465" s="10" t="s">
        <v>10</v>
      </c>
      <c r="D465" s="9" t="s">
        <v>312</v>
      </c>
      <c r="E465" s="11">
        <v>45.371499999999997</v>
      </c>
      <c r="F465" s="7">
        <v>0</v>
      </c>
      <c r="G465" s="7">
        <v>0</v>
      </c>
      <c r="H465" s="7">
        <v>175127.61199999999</v>
      </c>
      <c r="I465" s="7">
        <v>219596.05902094301</v>
      </c>
      <c r="J465" s="7">
        <v>9963402.5918687154</v>
      </c>
    </row>
    <row r="466" spans="1:10" ht="27.6" outlineLevel="1" x14ac:dyDescent="0.3">
      <c r="A466" s="8">
        <v>55</v>
      </c>
      <c r="B466" s="9" t="s">
        <v>468</v>
      </c>
      <c r="C466" s="10" t="s">
        <v>249</v>
      </c>
      <c r="D466" s="9" t="s">
        <v>325</v>
      </c>
      <c r="E466" s="11">
        <v>60.59</v>
      </c>
      <c r="F466" s="7">
        <v>0</v>
      </c>
      <c r="G466" s="7">
        <v>295743.16000000003</v>
      </c>
      <c r="H466" s="7">
        <v>0</v>
      </c>
      <c r="I466" s="7">
        <v>370838.33712299005</v>
      </c>
      <c r="J466" s="7">
        <v>22469094.846281968</v>
      </c>
    </row>
    <row r="467" spans="1:10" ht="27.6" outlineLevel="1" x14ac:dyDescent="0.3">
      <c r="A467" s="8">
        <v>56</v>
      </c>
      <c r="B467" s="9" t="s">
        <v>466</v>
      </c>
      <c r="C467" s="10" t="s">
        <v>250</v>
      </c>
      <c r="D467" s="9" t="s">
        <v>312</v>
      </c>
      <c r="E467" s="11">
        <v>3.5568</v>
      </c>
      <c r="F467" s="7">
        <v>0</v>
      </c>
      <c r="G467" s="7">
        <v>911648.64</v>
      </c>
      <c r="H467" s="7">
        <v>1064707.6200000001</v>
      </c>
      <c r="I467" s="7">
        <v>2478193.1356282649</v>
      </c>
      <c r="J467" s="7">
        <v>8814437.3448026124</v>
      </c>
    </row>
    <row r="468" spans="1:10" ht="27.6" outlineLevel="1" x14ac:dyDescent="0.3">
      <c r="A468" s="8">
        <v>57</v>
      </c>
      <c r="B468" s="9" t="s">
        <v>313</v>
      </c>
      <c r="C468" s="10" t="s">
        <v>7</v>
      </c>
      <c r="D468" s="9" t="s">
        <v>312</v>
      </c>
      <c r="E468" s="11">
        <v>3.5525000000000002</v>
      </c>
      <c r="F468" s="7">
        <v>0</v>
      </c>
      <c r="G468" s="7">
        <v>0</v>
      </c>
      <c r="H468" s="7">
        <v>1607259.9850000001</v>
      </c>
      <c r="I468" s="7">
        <v>2015375.8422061962</v>
      </c>
      <c r="J468" s="7">
        <v>7159622.6794375125</v>
      </c>
    </row>
    <row r="469" spans="1:10" ht="27.6" outlineLevel="1" x14ac:dyDescent="0.3">
      <c r="A469" s="8">
        <v>58</v>
      </c>
      <c r="B469" s="9" t="s">
        <v>314</v>
      </c>
      <c r="C469" s="10" t="s">
        <v>8</v>
      </c>
      <c r="D469" s="9" t="s">
        <v>315</v>
      </c>
      <c r="E469" s="11">
        <v>3.5525000000000002</v>
      </c>
      <c r="F469" s="7">
        <v>0</v>
      </c>
      <c r="G469" s="7">
        <v>0</v>
      </c>
      <c r="H469" s="7">
        <v>2457916.44</v>
      </c>
      <c r="I469" s="7">
        <v>3082031.1969239097</v>
      </c>
      <c r="J469" s="7">
        <v>10948915.82707219</v>
      </c>
    </row>
    <row r="470" spans="1:10" ht="27.6" outlineLevel="1" x14ac:dyDescent="0.3">
      <c r="A470" s="8">
        <v>59</v>
      </c>
      <c r="B470" s="9" t="s">
        <v>316</v>
      </c>
      <c r="C470" s="10" t="s">
        <v>9</v>
      </c>
      <c r="D470" s="9" t="s">
        <v>315</v>
      </c>
      <c r="E470" s="11">
        <v>3.5525000000000002</v>
      </c>
      <c r="F470" s="7">
        <v>0</v>
      </c>
      <c r="G470" s="7">
        <v>0</v>
      </c>
      <c r="H470" s="7">
        <v>8385340.7799999993</v>
      </c>
      <c r="I470" s="7">
        <v>10514548.607192796</v>
      </c>
      <c r="J470" s="7">
        <v>37352933.927052408</v>
      </c>
    </row>
    <row r="471" spans="1:10" ht="13.8" outlineLevel="1" x14ac:dyDescent="0.3">
      <c r="A471" s="8">
        <v>60</v>
      </c>
      <c r="B471" s="9" t="s">
        <v>317</v>
      </c>
      <c r="C471" s="10" t="s">
        <v>10</v>
      </c>
      <c r="D471" s="9" t="s">
        <v>312</v>
      </c>
      <c r="E471" s="11">
        <v>3.5525000000000002</v>
      </c>
      <c r="F471" s="7">
        <v>0</v>
      </c>
      <c r="G471" s="7">
        <v>0</v>
      </c>
      <c r="H471" s="7">
        <v>175127.61199999999</v>
      </c>
      <c r="I471" s="7">
        <v>219596.05902094301</v>
      </c>
      <c r="J471" s="7">
        <v>780114.99967190006</v>
      </c>
    </row>
    <row r="472" spans="1:10" ht="41.4" outlineLevel="1" x14ac:dyDescent="0.3">
      <c r="A472" s="8">
        <v>61</v>
      </c>
      <c r="B472" s="9" t="s">
        <v>469</v>
      </c>
      <c r="C472" s="10" t="s">
        <v>251</v>
      </c>
      <c r="D472" s="9" t="s">
        <v>312</v>
      </c>
      <c r="E472" s="11">
        <v>0.54</v>
      </c>
      <c r="F472" s="7">
        <v>0</v>
      </c>
      <c r="G472" s="7">
        <v>447684.6</v>
      </c>
      <c r="H472" s="7">
        <v>862193.24205</v>
      </c>
      <c r="I472" s="7">
        <v>1642482.3511727967</v>
      </c>
      <c r="J472" s="7">
        <v>886940.46963331022</v>
      </c>
    </row>
    <row r="473" spans="1:10" ht="41.4" outlineLevel="1" x14ac:dyDescent="0.3">
      <c r="A473" s="8">
        <v>62</v>
      </c>
      <c r="B473" s="9" t="s">
        <v>338</v>
      </c>
      <c r="C473" s="10" t="s">
        <v>45</v>
      </c>
      <c r="D473" s="9" t="s">
        <v>312</v>
      </c>
      <c r="E473" s="11">
        <v>0</v>
      </c>
      <c r="F473" s="7">
        <v>0</v>
      </c>
      <c r="G473" s="7">
        <v>1236595.5</v>
      </c>
      <c r="H473" s="7">
        <v>3417299.5069500003</v>
      </c>
      <c r="I473" s="7">
        <v>5835613.1905884957</v>
      </c>
      <c r="J473" s="7">
        <v>0</v>
      </c>
    </row>
    <row r="474" spans="1:10" ht="27.6" outlineLevel="1" x14ac:dyDescent="0.3">
      <c r="A474" s="8">
        <v>63</v>
      </c>
      <c r="B474" s="9" t="s">
        <v>339</v>
      </c>
      <c r="C474" s="10" t="s">
        <v>46</v>
      </c>
      <c r="D474" s="9" t="s">
        <v>312</v>
      </c>
      <c r="E474" s="11">
        <v>0</v>
      </c>
      <c r="F474" s="7">
        <v>0</v>
      </c>
      <c r="G474" s="7">
        <v>0</v>
      </c>
      <c r="H474" s="7">
        <v>8921527.5600000005</v>
      </c>
      <c r="I474" s="7">
        <v>11186884.068417091</v>
      </c>
      <c r="J474" s="7">
        <v>0</v>
      </c>
    </row>
    <row r="475" spans="1:10" ht="27.6" outlineLevel="1" x14ac:dyDescent="0.3">
      <c r="A475" s="8">
        <v>64</v>
      </c>
      <c r="B475" s="9" t="s">
        <v>470</v>
      </c>
      <c r="C475" s="10" t="s">
        <v>261</v>
      </c>
      <c r="D475" s="9" t="s">
        <v>325</v>
      </c>
      <c r="E475" s="11">
        <v>219.33</v>
      </c>
      <c r="F475" s="7">
        <v>1147627.316072125</v>
      </c>
      <c r="G475" s="7">
        <v>411685.00000000006</v>
      </c>
      <c r="H475" s="7">
        <v>90995.939099999989</v>
      </c>
      <c r="I475" s="7">
        <v>2069354.9399024951</v>
      </c>
      <c r="J475" s="7">
        <v>453871618.96881425</v>
      </c>
    </row>
    <row r="476" spans="1:10" ht="13.8" outlineLevel="1" x14ac:dyDescent="0.3">
      <c r="A476" s="8">
        <v>65</v>
      </c>
      <c r="B476" s="9" t="s">
        <v>471</v>
      </c>
      <c r="C476" s="10" t="s">
        <v>253</v>
      </c>
      <c r="D476" s="9" t="s">
        <v>345</v>
      </c>
      <c r="E476" s="11">
        <v>1.706</v>
      </c>
      <c r="F476" s="7">
        <v>496640.31900000002</v>
      </c>
      <c r="G476" s="7">
        <v>3751311.5</v>
      </c>
      <c r="H476" s="7">
        <v>200586.30479999998</v>
      </c>
      <c r="I476" s="7">
        <v>5578112.0363298273</v>
      </c>
      <c r="J476" s="7">
        <v>9516259.1339786854</v>
      </c>
    </row>
    <row r="477" spans="1:10" ht="13.8" outlineLevel="1" x14ac:dyDescent="0.3">
      <c r="A477" s="8">
        <v>66</v>
      </c>
      <c r="B477" s="9" t="s">
        <v>414</v>
      </c>
      <c r="C477" s="10" t="s">
        <v>254</v>
      </c>
      <c r="D477" s="9" t="s">
        <v>345</v>
      </c>
      <c r="E477" s="11">
        <v>1.4419999999999999</v>
      </c>
      <c r="F477" s="7">
        <v>159157.68</v>
      </c>
      <c r="G477" s="7">
        <v>45075</v>
      </c>
      <c r="H477" s="7">
        <v>0</v>
      </c>
      <c r="I477" s="7">
        <v>256091.49316377001</v>
      </c>
      <c r="J477" s="7">
        <v>369283.93314215634</v>
      </c>
    </row>
    <row r="478" spans="1:10" ht="27.6" outlineLevel="1" x14ac:dyDescent="0.3">
      <c r="A478" s="8">
        <v>67</v>
      </c>
      <c r="B478" s="9" t="s">
        <v>472</v>
      </c>
      <c r="C478" s="10" t="s">
        <v>255</v>
      </c>
      <c r="D478" s="9" t="s">
        <v>312</v>
      </c>
      <c r="E478" s="11">
        <v>0.309</v>
      </c>
      <c r="F478" s="7">
        <v>32890970</v>
      </c>
      <c r="G478" s="7">
        <v>686997.5</v>
      </c>
      <c r="H478" s="7">
        <v>2382641.1912750001</v>
      </c>
      <c r="I478" s="7">
        <v>45091735.440315723</v>
      </c>
      <c r="J478" s="7">
        <v>13933346.251057558</v>
      </c>
    </row>
    <row r="479" spans="1:10" ht="27.6" outlineLevel="1" x14ac:dyDescent="0.3">
      <c r="A479" s="8">
        <v>68</v>
      </c>
      <c r="B479" s="9" t="s">
        <v>398</v>
      </c>
      <c r="C479" s="10" t="s">
        <v>262</v>
      </c>
      <c r="D479" s="9" t="s">
        <v>325</v>
      </c>
      <c r="E479" s="11">
        <v>43.26</v>
      </c>
      <c r="F479" s="7">
        <v>969502.72392050002</v>
      </c>
      <c r="G479" s="7">
        <v>498830</v>
      </c>
      <c r="H479" s="7">
        <v>61812.876999999993</v>
      </c>
      <c r="I479" s="7">
        <v>1918680.5544426336</v>
      </c>
      <c r="J479" s="7">
        <v>83002120.785188332</v>
      </c>
    </row>
    <row r="480" spans="1:10" ht="13.8" outlineLevel="1" x14ac:dyDescent="0.3">
      <c r="A480" s="8">
        <v>69</v>
      </c>
      <c r="B480" s="9" t="s">
        <v>344</v>
      </c>
      <c r="C480" s="10" t="s">
        <v>54</v>
      </c>
      <c r="D480" s="9" t="s">
        <v>345</v>
      </c>
      <c r="E480" s="11">
        <v>1.5303</v>
      </c>
      <c r="F480" s="7">
        <v>1302754.74</v>
      </c>
      <c r="G480" s="7">
        <v>3995962.25</v>
      </c>
      <c r="H480" s="7">
        <v>391620.88079999998</v>
      </c>
      <c r="I480" s="7">
        <v>7135229.8855380043</v>
      </c>
      <c r="J480" s="7">
        <v>10919042.293838808</v>
      </c>
    </row>
    <row r="481" spans="1:10" ht="13.8" outlineLevel="1" x14ac:dyDescent="0.3">
      <c r="A481" s="8">
        <v>70</v>
      </c>
      <c r="B481" s="9" t="s">
        <v>385</v>
      </c>
      <c r="C481" s="10" t="s">
        <v>257</v>
      </c>
      <c r="D481" s="9" t="s">
        <v>325</v>
      </c>
      <c r="E481" s="11">
        <v>0.09</v>
      </c>
      <c r="F481" s="7">
        <v>16000000</v>
      </c>
      <c r="G481" s="7">
        <v>0</v>
      </c>
      <c r="H481" s="7">
        <v>0</v>
      </c>
      <c r="I481" s="7">
        <v>20062724</v>
      </c>
      <c r="J481" s="7">
        <v>1805645.16</v>
      </c>
    </row>
    <row r="482" spans="1:10" ht="27.6" outlineLevel="1" x14ac:dyDescent="0.3">
      <c r="A482" s="3"/>
      <c r="B482" s="4"/>
      <c r="C482" s="4" t="s">
        <v>263</v>
      </c>
      <c r="D482" s="4"/>
      <c r="E482" s="12"/>
      <c r="F482" s="13"/>
      <c r="G482" s="13"/>
      <c r="H482" s="13"/>
      <c r="I482" s="13"/>
      <c r="J482" s="13">
        <v>4649452496.0461111</v>
      </c>
    </row>
    <row r="483" spans="1:10" ht="13.2" outlineLevel="1" x14ac:dyDescent="0.3">
      <c r="A483" s="14"/>
      <c r="B483" s="15"/>
      <c r="C483" s="16" t="s">
        <v>242</v>
      </c>
      <c r="D483" s="16"/>
      <c r="E483" s="17"/>
      <c r="F483" s="18"/>
      <c r="G483" s="18"/>
      <c r="H483" s="18"/>
      <c r="I483" s="18"/>
      <c r="J483" s="19">
        <v>8810033407</v>
      </c>
    </row>
    <row r="484" spans="1:10" ht="30" customHeight="1" outlineLevel="1" x14ac:dyDescent="0.3">
      <c r="A484" s="20" t="s">
        <v>264</v>
      </c>
      <c r="B484" s="21"/>
      <c r="C484" s="22"/>
      <c r="D484" s="21"/>
      <c r="E484" s="23"/>
      <c r="F484" s="22"/>
      <c r="G484" s="22"/>
      <c r="H484" s="22"/>
      <c r="I484" s="22"/>
      <c r="J484" s="24"/>
    </row>
    <row r="485" spans="1:10" ht="26.25" customHeight="1" outlineLevel="1" x14ac:dyDescent="0.3">
      <c r="A485" s="25" t="s">
        <v>463</v>
      </c>
      <c r="B485" s="26"/>
      <c r="C485" s="27"/>
      <c r="D485" s="26"/>
      <c r="E485" s="27"/>
      <c r="F485" s="27"/>
      <c r="G485" s="27"/>
      <c r="H485" s="27"/>
      <c r="I485" s="27"/>
      <c r="J485" s="27"/>
    </row>
    <row r="486" spans="1:10" ht="30" customHeight="1" outlineLevel="1" x14ac:dyDescent="0.3">
      <c r="A486" s="28" t="s">
        <v>464</v>
      </c>
      <c r="B486" s="26"/>
      <c r="C486" s="27"/>
      <c r="D486" s="26"/>
      <c r="E486" s="27"/>
      <c r="F486" s="27"/>
      <c r="G486" s="27"/>
      <c r="H486" s="27"/>
      <c r="I486" s="27"/>
      <c r="J486" s="27"/>
    </row>
    <row r="487" spans="1:10" ht="37.5" customHeight="1" outlineLevel="1" x14ac:dyDescent="0.3">
      <c r="A487" s="29" t="s">
        <v>473</v>
      </c>
      <c r="B487" s="26"/>
      <c r="C487" s="27"/>
      <c r="D487" s="26"/>
      <c r="E487" s="27"/>
      <c r="F487" s="27"/>
      <c r="G487" s="27"/>
      <c r="H487" s="27"/>
      <c r="I487" s="27"/>
      <c r="J487" s="27"/>
    </row>
    <row r="488" spans="1:10" ht="30" customHeight="1" outlineLevel="1" collapsed="1" x14ac:dyDescent="0.3">
      <c r="A488" s="1" t="s">
        <v>0</v>
      </c>
      <c r="B488" s="2" t="s">
        <v>1</v>
      </c>
      <c r="C488" s="2" t="s">
        <v>2</v>
      </c>
      <c r="D488" s="2" t="s">
        <v>3</v>
      </c>
      <c r="E488" s="2" t="s">
        <v>4</v>
      </c>
      <c r="F488" s="2" t="s">
        <v>305</v>
      </c>
      <c r="G488" s="2" t="s">
        <v>306</v>
      </c>
      <c r="H488" s="2" t="s">
        <v>307</v>
      </c>
      <c r="I488" s="2" t="s">
        <v>308</v>
      </c>
      <c r="J488" s="2" t="s">
        <v>309</v>
      </c>
    </row>
    <row r="489" spans="1:10" ht="13.8" x14ac:dyDescent="0.3">
      <c r="A489" s="3"/>
      <c r="B489" s="4" t="s">
        <v>310</v>
      </c>
      <c r="C489" s="5" t="s">
        <v>265</v>
      </c>
      <c r="D489" s="4">
        <v>0</v>
      </c>
      <c r="E489" s="6">
        <v>0</v>
      </c>
      <c r="F489" s="7"/>
      <c r="G489" s="7"/>
      <c r="H489" s="7"/>
      <c r="I489" s="7"/>
      <c r="J489" s="7"/>
    </row>
    <row r="490" spans="1:10" ht="27.6" outlineLevel="1" x14ac:dyDescent="0.3">
      <c r="A490" s="8">
        <v>1</v>
      </c>
      <c r="B490" s="9" t="s">
        <v>474</v>
      </c>
      <c r="C490" s="10" t="s">
        <v>266</v>
      </c>
      <c r="D490" s="9" t="s">
        <v>312</v>
      </c>
      <c r="E490" s="11">
        <v>1.827</v>
      </c>
      <c r="F490" s="7">
        <v>0</v>
      </c>
      <c r="G490" s="7">
        <v>92250.16</v>
      </c>
      <c r="H490" s="7">
        <v>708957.13800000004</v>
      </c>
      <c r="I490" s="7">
        <v>1004650.0554099847</v>
      </c>
      <c r="J490" s="7">
        <v>1835495.6512340419</v>
      </c>
    </row>
    <row r="491" spans="1:10" ht="27.6" outlineLevel="1" x14ac:dyDescent="0.3">
      <c r="A491" s="8">
        <v>2</v>
      </c>
      <c r="B491" s="9" t="s">
        <v>475</v>
      </c>
      <c r="C491" s="10" t="s">
        <v>267</v>
      </c>
      <c r="D491" s="9" t="s">
        <v>312</v>
      </c>
      <c r="E491" s="11">
        <v>1.827</v>
      </c>
      <c r="F491" s="7">
        <v>0</v>
      </c>
      <c r="G491" s="7">
        <v>0</v>
      </c>
      <c r="H491" s="7">
        <v>1419154.135</v>
      </c>
      <c r="I491" s="7">
        <v>1779506.1077477338</v>
      </c>
      <c r="J491" s="7">
        <v>3251157.6588551095</v>
      </c>
    </row>
    <row r="492" spans="1:10" ht="27.6" outlineLevel="1" x14ac:dyDescent="0.3">
      <c r="A492" s="8">
        <v>3</v>
      </c>
      <c r="B492" s="9" t="s">
        <v>476</v>
      </c>
      <c r="C492" s="10" t="s">
        <v>268</v>
      </c>
      <c r="D492" s="9" t="s">
        <v>315</v>
      </c>
      <c r="E492" s="11">
        <v>1.827</v>
      </c>
      <c r="F492" s="7">
        <v>0</v>
      </c>
      <c r="G492" s="7">
        <v>0</v>
      </c>
      <c r="H492" s="7">
        <v>2140226.5600000001</v>
      </c>
      <c r="I492" s="7">
        <v>2683673.4231718401</v>
      </c>
      <c r="J492" s="7">
        <v>4903071.3441349519</v>
      </c>
    </row>
    <row r="493" spans="1:10" ht="27.6" outlineLevel="1" x14ac:dyDescent="0.3">
      <c r="A493" s="8">
        <v>4</v>
      </c>
      <c r="B493" s="9" t="s">
        <v>477</v>
      </c>
      <c r="C493" s="10" t="s">
        <v>269</v>
      </c>
      <c r="D493" s="9" t="s">
        <v>315</v>
      </c>
      <c r="E493" s="11">
        <v>1.827</v>
      </c>
      <c r="F493" s="7">
        <v>0</v>
      </c>
      <c r="G493" s="7">
        <v>0</v>
      </c>
      <c r="H493" s="7">
        <v>7319407.629999999</v>
      </c>
      <c r="I493" s="7">
        <v>9177953.4452615064</v>
      </c>
      <c r="J493" s="7">
        <v>16768120.944492772</v>
      </c>
    </row>
    <row r="494" spans="1:10" ht="13.8" outlineLevel="1" x14ac:dyDescent="0.3">
      <c r="A494" s="8">
        <v>5</v>
      </c>
      <c r="B494" s="9" t="s">
        <v>317</v>
      </c>
      <c r="C494" s="10" t="s">
        <v>10</v>
      </c>
      <c r="D494" s="9" t="s">
        <v>312</v>
      </c>
      <c r="E494" s="11">
        <v>1.827</v>
      </c>
      <c r="F494" s="7">
        <v>0</v>
      </c>
      <c r="G494" s="7">
        <v>0</v>
      </c>
      <c r="H494" s="7">
        <v>175127.61199999999</v>
      </c>
      <c r="I494" s="7">
        <v>219596.05902094301</v>
      </c>
      <c r="J494" s="7">
        <v>401201.99983126286</v>
      </c>
    </row>
    <row r="495" spans="1:10" ht="27.6" outlineLevel="1" x14ac:dyDescent="0.3">
      <c r="A495" s="8">
        <v>6</v>
      </c>
      <c r="B495" s="9" t="s">
        <v>466</v>
      </c>
      <c r="C495" s="10" t="s">
        <v>270</v>
      </c>
      <c r="D495" s="9" t="s">
        <v>312</v>
      </c>
      <c r="E495" s="11">
        <v>12.953700000000001</v>
      </c>
      <c r="F495" s="7">
        <v>0</v>
      </c>
      <c r="G495" s="7">
        <v>911648.64</v>
      </c>
      <c r="H495" s="7">
        <v>1064707.6200000001</v>
      </c>
      <c r="I495" s="7">
        <v>2478193.1356282649</v>
      </c>
      <c r="J495" s="7">
        <v>32101770.420987859</v>
      </c>
    </row>
    <row r="496" spans="1:10" ht="13.8" outlineLevel="1" x14ac:dyDescent="0.3">
      <c r="A496" s="8">
        <v>7</v>
      </c>
      <c r="B496" s="9" t="s">
        <v>478</v>
      </c>
      <c r="C496" s="10" t="s">
        <v>271</v>
      </c>
      <c r="D496" s="9" t="s">
        <v>325</v>
      </c>
      <c r="E496" s="11">
        <v>0</v>
      </c>
      <c r="F496" s="7">
        <v>0</v>
      </c>
      <c r="G496" s="7">
        <v>236051.88</v>
      </c>
      <c r="H496" s="7">
        <v>0</v>
      </c>
      <c r="I496" s="7">
        <v>295990.23238256999</v>
      </c>
      <c r="J496" s="7">
        <v>0</v>
      </c>
    </row>
    <row r="497" spans="1:10" ht="27.6" outlineLevel="1" x14ac:dyDescent="0.3">
      <c r="A497" s="8">
        <v>8</v>
      </c>
      <c r="B497" s="9" t="s">
        <v>313</v>
      </c>
      <c r="C497" s="10" t="s">
        <v>7</v>
      </c>
      <c r="D497" s="9" t="s">
        <v>312</v>
      </c>
      <c r="E497" s="11">
        <v>1.038076000000002</v>
      </c>
      <c r="F497" s="7">
        <v>0</v>
      </c>
      <c r="G497" s="7">
        <v>0</v>
      </c>
      <c r="H497" s="7">
        <v>1607259.9850000001</v>
      </c>
      <c r="I497" s="7">
        <v>2015375.8422061962</v>
      </c>
      <c r="J497" s="7">
        <v>2092113.2927740433</v>
      </c>
    </row>
    <row r="498" spans="1:10" ht="27.6" outlineLevel="1" x14ac:dyDescent="0.3">
      <c r="A498" s="8">
        <v>9</v>
      </c>
      <c r="B498" s="9" t="s">
        <v>314</v>
      </c>
      <c r="C498" s="10" t="s">
        <v>8</v>
      </c>
      <c r="D498" s="9" t="s">
        <v>315</v>
      </c>
      <c r="E498" s="11">
        <v>1.038076000000002</v>
      </c>
      <c r="F498" s="7">
        <v>0</v>
      </c>
      <c r="G498" s="7">
        <v>0</v>
      </c>
      <c r="H498" s="7">
        <v>2457916.44</v>
      </c>
      <c r="I498" s="7">
        <v>3082031.1969239097</v>
      </c>
      <c r="J498" s="7">
        <v>3199382.6167779905</v>
      </c>
    </row>
    <row r="499" spans="1:10" ht="27.6" outlineLevel="1" x14ac:dyDescent="0.3">
      <c r="A499" s="8">
        <v>10</v>
      </c>
      <c r="B499" s="9" t="s">
        <v>316</v>
      </c>
      <c r="C499" s="10" t="s">
        <v>9</v>
      </c>
      <c r="D499" s="9" t="s">
        <v>315</v>
      </c>
      <c r="E499" s="11">
        <v>1.038076000000002</v>
      </c>
      <c r="F499" s="7">
        <v>0</v>
      </c>
      <c r="G499" s="7">
        <v>0</v>
      </c>
      <c r="H499" s="7">
        <v>8385340.7799999993</v>
      </c>
      <c r="I499" s="7">
        <v>10514548.607192796</v>
      </c>
      <c r="J499" s="7">
        <v>10914900.559960289</v>
      </c>
    </row>
    <row r="500" spans="1:10" ht="13.8" outlineLevel="1" x14ac:dyDescent="0.3">
      <c r="A500" s="8">
        <v>11</v>
      </c>
      <c r="B500" s="9" t="s">
        <v>317</v>
      </c>
      <c r="C500" s="10" t="s">
        <v>10</v>
      </c>
      <c r="D500" s="9" t="s">
        <v>312</v>
      </c>
      <c r="E500" s="11">
        <v>12.953700000000001</v>
      </c>
      <c r="F500" s="7">
        <v>0</v>
      </c>
      <c r="G500" s="7">
        <v>0</v>
      </c>
      <c r="H500" s="7">
        <v>175127.61199999999</v>
      </c>
      <c r="I500" s="7">
        <v>219596.05902094301</v>
      </c>
      <c r="J500" s="7">
        <v>2844581.4697395898</v>
      </c>
    </row>
    <row r="501" spans="1:10" ht="27.6" outlineLevel="1" x14ac:dyDescent="0.3">
      <c r="A501" s="8">
        <v>12</v>
      </c>
      <c r="B501" s="9" t="s">
        <v>479</v>
      </c>
      <c r="C501" s="10" t="s">
        <v>272</v>
      </c>
      <c r="D501" s="9" t="s">
        <v>312</v>
      </c>
      <c r="E501" s="11">
        <v>82.505999999999986</v>
      </c>
      <c r="F501" s="7">
        <v>0</v>
      </c>
      <c r="G501" s="7">
        <v>1093435.72</v>
      </c>
      <c r="H501" s="7">
        <v>1254311.4340000001</v>
      </c>
      <c r="I501" s="7">
        <v>2943887.698280469</v>
      </c>
      <c r="J501" s="7">
        <v>242888398.43432835</v>
      </c>
    </row>
    <row r="502" spans="1:10" ht="13.8" outlineLevel="1" x14ac:dyDescent="0.3">
      <c r="A502" s="8">
        <v>13</v>
      </c>
      <c r="B502" s="9" t="s">
        <v>480</v>
      </c>
      <c r="C502" s="10" t="s">
        <v>273</v>
      </c>
      <c r="D502" s="9" t="s">
        <v>325</v>
      </c>
      <c r="E502" s="11">
        <v>0</v>
      </c>
      <c r="F502" s="7">
        <v>0</v>
      </c>
      <c r="G502" s="7">
        <v>344581.48</v>
      </c>
      <c r="H502" s="7">
        <v>0</v>
      </c>
      <c r="I502" s="7">
        <v>432077.69554697</v>
      </c>
      <c r="J502" s="7">
        <v>0</v>
      </c>
    </row>
    <row r="503" spans="1:10" ht="27.6" outlineLevel="1" x14ac:dyDescent="0.3">
      <c r="A503" s="8">
        <v>14</v>
      </c>
      <c r="B503" s="9" t="s">
        <v>481</v>
      </c>
      <c r="C503" s="10" t="s">
        <v>274</v>
      </c>
      <c r="D503" s="9" t="s">
        <v>312</v>
      </c>
      <c r="E503" s="11">
        <v>66.257409999999993</v>
      </c>
      <c r="F503" s="7">
        <v>0</v>
      </c>
      <c r="G503" s="7">
        <v>0</v>
      </c>
      <c r="H503" s="7">
        <v>1931220.06</v>
      </c>
      <c r="I503" s="7">
        <v>2421595.9404402147</v>
      </c>
      <c r="J503" s="7">
        <v>160448675.08008286</v>
      </c>
    </row>
    <row r="504" spans="1:10" ht="27.6" outlineLevel="1" x14ac:dyDescent="0.3">
      <c r="A504" s="8">
        <v>15</v>
      </c>
      <c r="B504" s="9" t="s">
        <v>482</v>
      </c>
      <c r="C504" s="10" t="s">
        <v>275</v>
      </c>
      <c r="D504" s="9" t="s">
        <v>315</v>
      </c>
      <c r="E504" s="11">
        <v>66.257409999999993</v>
      </c>
      <c r="F504" s="7">
        <v>0</v>
      </c>
      <c r="G504" s="7">
        <v>0</v>
      </c>
      <c r="H504" s="7">
        <v>2658562.6800000002</v>
      </c>
      <c r="I504" s="7">
        <v>3333625.5803462705</v>
      </c>
      <c r="J504" s="7">
        <v>220877396.86349076</v>
      </c>
    </row>
    <row r="505" spans="1:10" ht="27.6" outlineLevel="1" x14ac:dyDescent="0.3">
      <c r="A505" s="8">
        <v>16</v>
      </c>
      <c r="B505" s="9" t="s">
        <v>483</v>
      </c>
      <c r="C505" s="10" t="s">
        <v>276</v>
      </c>
      <c r="D505" s="9" t="s">
        <v>315</v>
      </c>
      <c r="E505" s="11">
        <v>66.257409999999993</v>
      </c>
      <c r="F505" s="7">
        <v>0</v>
      </c>
      <c r="G505" s="7">
        <v>0</v>
      </c>
      <c r="H505" s="7">
        <v>9380211.7200000007</v>
      </c>
      <c r="I505" s="7">
        <v>11762037.424995333</v>
      </c>
      <c r="J505" s="7">
        <v>779322136.10325992</v>
      </c>
    </row>
    <row r="506" spans="1:10" ht="13.8" outlineLevel="1" x14ac:dyDescent="0.3">
      <c r="A506" s="8">
        <v>17</v>
      </c>
      <c r="B506" s="9" t="s">
        <v>317</v>
      </c>
      <c r="C506" s="10" t="s">
        <v>10</v>
      </c>
      <c r="D506" s="9" t="s">
        <v>312</v>
      </c>
      <c r="E506" s="11">
        <v>82.505999999999986</v>
      </c>
      <c r="F506" s="7">
        <v>0</v>
      </c>
      <c r="G506" s="7">
        <v>0</v>
      </c>
      <c r="H506" s="7">
        <v>175127.61199999999</v>
      </c>
      <c r="I506" s="7">
        <v>219596.05902094301</v>
      </c>
      <c r="J506" s="7">
        <v>18117992.44558192</v>
      </c>
    </row>
    <row r="507" spans="1:10" ht="27.6" outlineLevel="1" x14ac:dyDescent="0.3">
      <c r="A507" s="8">
        <v>18</v>
      </c>
      <c r="B507" s="9" t="s">
        <v>467</v>
      </c>
      <c r="C507" s="10" t="s">
        <v>260</v>
      </c>
      <c r="D507" s="9" t="s">
        <v>312</v>
      </c>
      <c r="E507" s="11">
        <v>13.399000000000001</v>
      </c>
      <c r="F507" s="7">
        <v>0</v>
      </c>
      <c r="G507" s="7">
        <v>1294215.48</v>
      </c>
      <c r="H507" s="7">
        <v>1827570.263</v>
      </c>
      <c r="I507" s="7">
        <v>3914470.3593089953</v>
      </c>
      <c r="J507" s="7">
        <v>52449988.344381228</v>
      </c>
    </row>
    <row r="508" spans="1:10" ht="27.6" outlineLevel="1" x14ac:dyDescent="0.3">
      <c r="A508" s="8">
        <v>19</v>
      </c>
      <c r="B508" s="9" t="s">
        <v>484</v>
      </c>
      <c r="C508" s="10" t="s">
        <v>277</v>
      </c>
      <c r="D508" s="9" t="s">
        <v>325</v>
      </c>
      <c r="E508" s="11">
        <v>0</v>
      </c>
      <c r="F508" s="7">
        <v>0</v>
      </c>
      <c r="G508" s="7">
        <v>396133.04</v>
      </c>
      <c r="H508" s="7">
        <v>0</v>
      </c>
      <c r="I508" s="7">
        <v>496719.24055005994</v>
      </c>
      <c r="J508" s="7">
        <v>0</v>
      </c>
    </row>
    <row r="509" spans="1:10" ht="27.6" outlineLevel="1" x14ac:dyDescent="0.3">
      <c r="A509" s="8">
        <v>20</v>
      </c>
      <c r="B509" s="9" t="s">
        <v>319</v>
      </c>
      <c r="C509" s="10" t="s">
        <v>27</v>
      </c>
      <c r="D509" s="9" t="s">
        <v>312</v>
      </c>
      <c r="E509" s="11">
        <v>13.399000000000001</v>
      </c>
      <c r="F509" s="7">
        <v>0</v>
      </c>
      <c r="G509" s="7">
        <v>0</v>
      </c>
      <c r="H509" s="7">
        <v>2056623.96</v>
      </c>
      <c r="I509" s="7">
        <v>2578842.4300791896</v>
      </c>
      <c r="J509" s="7">
        <v>34553909.720631063</v>
      </c>
    </row>
    <row r="510" spans="1:10" ht="27.6" outlineLevel="1" x14ac:dyDescent="0.3">
      <c r="A510" s="8">
        <v>21</v>
      </c>
      <c r="B510" s="9" t="s">
        <v>320</v>
      </c>
      <c r="C510" s="10" t="s">
        <v>28</v>
      </c>
      <c r="D510" s="9" t="s">
        <v>315</v>
      </c>
      <c r="E510" s="11">
        <v>13.399000000000001</v>
      </c>
      <c r="F510" s="7">
        <v>0</v>
      </c>
      <c r="G510" s="7">
        <v>0</v>
      </c>
      <c r="H510" s="7">
        <v>3034774.38</v>
      </c>
      <c r="I510" s="7">
        <v>3805365.0492631951</v>
      </c>
      <c r="J510" s="7">
        <v>50988086.295077555</v>
      </c>
    </row>
    <row r="511" spans="1:10" ht="27.6" outlineLevel="1" x14ac:dyDescent="0.3">
      <c r="A511" s="8">
        <v>22</v>
      </c>
      <c r="B511" s="9" t="s">
        <v>321</v>
      </c>
      <c r="C511" s="10" t="s">
        <v>29</v>
      </c>
      <c r="D511" s="9" t="s">
        <v>315</v>
      </c>
      <c r="E511" s="11">
        <v>13.399000000000001</v>
      </c>
      <c r="F511" s="7">
        <v>0</v>
      </c>
      <c r="G511" s="7">
        <v>0</v>
      </c>
      <c r="H511" s="7">
        <v>10410613.764999999</v>
      </c>
      <c r="I511" s="7">
        <v>13054079.414862242</v>
      </c>
      <c r="J511" s="7">
        <v>174911610.07973918</v>
      </c>
    </row>
    <row r="512" spans="1:10" ht="13.8" outlineLevel="1" x14ac:dyDescent="0.3">
      <c r="A512" s="8">
        <v>23</v>
      </c>
      <c r="B512" s="9" t="s">
        <v>317</v>
      </c>
      <c r="C512" s="10" t="s">
        <v>10</v>
      </c>
      <c r="D512" s="9" t="s">
        <v>312</v>
      </c>
      <c r="E512" s="11">
        <v>13.399000000000001</v>
      </c>
      <c r="F512" s="7">
        <v>0</v>
      </c>
      <c r="G512" s="7">
        <v>0</v>
      </c>
      <c r="H512" s="7">
        <v>175127.61199999999</v>
      </c>
      <c r="I512" s="7">
        <v>219596.05902094301</v>
      </c>
      <c r="J512" s="7">
        <v>2942367.5948216156</v>
      </c>
    </row>
    <row r="513" spans="1:10" ht="27.6" outlineLevel="1" x14ac:dyDescent="0.3">
      <c r="A513" s="8">
        <v>24</v>
      </c>
      <c r="B513" s="9" t="s">
        <v>485</v>
      </c>
      <c r="C513" s="10" t="s">
        <v>33</v>
      </c>
      <c r="D513" s="9" t="s">
        <v>325</v>
      </c>
      <c r="E513" s="11">
        <v>141.94</v>
      </c>
      <c r="F513" s="7">
        <v>0</v>
      </c>
      <c r="G513" s="7">
        <v>16081.14</v>
      </c>
      <c r="H513" s="7">
        <v>75459.090000000011</v>
      </c>
      <c r="I513" s="7">
        <v>114784.14808665753</v>
      </c>
      <c r="J513" s="7">
        <v>16292461.97942017</v>
      </c>
    </row>
    <row r="514" spans="1:10" ht="27.6" outlineLevel="1" x14ac:dyDescent="0.3">
      <c r="A514" s="8">
        <v>25</v>
      </c>
      <c r="B514" s="9" t="s">
        <v>486</v>
      </c>
      <c r="C514" s="10" t="s">
        <v>278</v>
      </c>
      <c r="D514" s="9" t="s">
        <v>325</v>
      </c>
      <c r="E514" s="11">
        <v>4.68</v>
      </c>
      <c r="F514" s="7">
        <v>0</v>
      </c>
      <c r="G514" s="7">
        <v>1038450</v>
      </c>
      <c r="H514" s="7">
        <v>0</v>
      </c>
      <c r="I514" s="7">
        <v>1302133.4836125001</v>
      </c>
      <c r="J514" s="7">
        <v>6093984.7033064999</v>
      </c>
    </row>
    <row r="515" spans="1:10" ht="27.6" outlineLevel="1" x14ac:dyDescent="0.3">
      <c r="A515" s="8">
        <v>26</v>
      </c>
      <c r="B515" s="9" t="s">
        <v>328</v>
      </c>
      <c r="C515" s="10" t="s">
        <v>35</v>
      </c>
      <c r="D515" s="9" t="s">
        <v>312</v>
      </c>
      <c r="E515" s="11">
        <v>1.4661999999999999</v>
      </c>
      <c r="F515" s="7">
        <v>0</v>
      </c>
      <c r="G515" s="7">
        <v>0</v>
      </c>
      <c r="H515" s="7">
        <v>3003423.4050000003</v>
      </c>
      <c r="I515" s="7">
        <v>3766053.4268534519</v>
      </c>
      <c r="J515" s="7">
        <v>5521787.5344525306</v>
      </c>
    </row>
    <row r="516" spans="1:10" ht="27.6" outlineLevel="1" x14ac:dyDescent="0.3">
      <c r="A516" s="8">
        <v>27</v>
      </c>
      <c r="B516" s="9" t="s">
        <v>329</v>
      </c>
      <c r="C516" s="10" t="s">
        <v>36</v>
      </c>
      <c r="D516" s="9" t="s">
        <v>315</v>
      </c>
      <c r="E516" s="11">
        <v>1.4661999999999999</v>
      </c>
      <c r="F516" s="7">
        <v>0</v>
      </c>
      <c r="G516" s="7">
        <v>0</v>
      </c>
      <c r="H516" s="7">
        <v>4857311.0599999996</v>
      </c>
      <c r="I516" s="7">
        <v>6090680.6986829648</v>
      </c>
      <c r="J516" s="7">
        <v>8930156.0404089633</v>
      </c>
    </row>
    <row r="517" spans="1:10" ht="27.6" outlineLevel="1" x14ac:dyDescent="0.3">
      <c r="A517" s="8">
        <v>28</v>
      </c>
      <c r="B517" s="9" t="s">
        <v>330</v>
      </c>
      <c r="C517" s="10" t="s">
        <v>37</v>
      </c>
      <c r="D517" s="9" t="s">
        <v>315</v>
      </c>
      <c r="E517" s="11">
        <v>1.4661999999999999</v>
      </c>
      <c r="F517" s="7">
        <v>0</v>
      </c>
      <c r="G517" s="7">
        <v>0</v>
      </c>
      <c r="H517" s="7">
        <v>16486432.720000001</v>
      </c>
      <c r="I517" s="7">
        <v>20672671.837870579</v>
      </c>
      <c r="J517" s="7">
        <v>30310271.448685843</v>
      </c>
    </row>
    <row r="518" spans="1:10" ht="13.8" outlineLevel="1" x14ac:dyDescent="0.3">
      <c r="A518" s="8">
        <v>29</v>
      </c>
      <c r="B518" s="9" t="s">
        <v>331</v>
      </c>
      <c r="C518" s="10" t="s">
        <v>38</v>
      </c>
      <c r="D518" s="9" t="s">
        <v>312</v>
      </c>
      <c r="E518" s="11">
        <v>1.4661999999999999</v>
      </c>
      <c r="F518" s="7">
        <v>0</v>
      </c>
      <c r="G518" s="7">
        <v>0</v>
      </c>
      <c r="H518" s="7">
        <v>245559.36900000001</v>
      </c>
      <c r="I518" s="7">
        <v>307911.86536632228</v>
      </c>
      <c r="J518" s="7">
        <v>451460.37700010173</v>
      </c>
    </row>
    <row r="519" spans="1:10" ht="13.8" outlineLevel="1" x14ac:dyDescent="0.3">
      <c r="A519" s="8">
        <v>30</v>
      </c>
      <c r="B519" s="9" t="s">
        <v>487</v>
      </c>
      <c r="C519" s="10" t="s">
        <v>279</v>
      </c>
      <c r="D519" s="9" t="s">
        <v>325</v>
      </c>
      <c r="E519" s="11">
        <v>464.51</v>
      </c>
      <c r="F519" s="7">
        <v>281448</v>
      </c>
      <c r="G519" s="7">
        <v>0</v>
      </c>
      <c r="H519" s="7">
        <v>0</v>
      </c>
      <c r="I519" s="7">
        <v>352913.34652200004</v>
      </c>
      <c r="J519" s="7">
        <v>163931778.59293422</v>
      </c>
    </row>
    <row r="520" spans="1:10" ht="27.6" outlineLevel="1" x14ac:dyDescent="0.3">
      <c r="A520" s="8">
        <v>31</v>
      </c>
      <c r="B520" s="9" t="s">
        <v>488</v>
      </c>
      <c r="C520" s="10" t="s">
        <v>280</v>
      </c>
      <c r="D520" s="9" t="s">
        <v>312</v>
      </c>
      <c r="E520" s="11">
        <v>4.6451000000000002</v>
      </c>
      <c r="F520" s="7">
        <v>0</v>
      </c>
      <c r="G520" s="7">
        <v>1017465</v>
      </c>
      <c r="H520" s="7">
        <v>3582732.16</v>
      </c>
      <c r="I520" s="7">
        <v>5768280.3729164908</v>
      </c>
      <c r="J520" s="7">
        <v>26794239.160234392</v>
      </c>
    </row>
    <row r="521" spans="1:10" ht="41.4" outlineLevel="1" x14ac:dyDescent="0.3">
      <c r="A521" s="8">
        <v>32</v>
      </c>
      <c r="B521" s="9" t="s">
        <v>469</v>
      </c>
      <c r="C521" s="10" t="s">
        <v>251</v>
      </c>
      <c r="D521" s="9" t="s">
        <v>312</v>
      </c>
      <c r="E521" s="11">
        <v>10.5448</v>
      </c>
      <c r="F521" s="7">
        <v>0</v>
      </c>
      <c r="G521" s="7">
        <v>447684.6</v>
      </c>
      <c r="H521" s="7">
        <v>862193.24205</v>
      </c>
      <c r="I521" s="7">
        <v>1642482.3511727967</v>
      </c>
      <c r="J521" s="7">
        <v>17319647.896646906</v>
      </c>
    </row>
    <row r="522" spans="1:10" ht="27.6" outlineLevel="1" x14ac:dyDescent="0.3">
      <c r="A522" s="8">
        <v>33</v>
      </c>
      <c r="B522" s="9" t="s">
        <v>489</v>
      </c>
      <c r="C522" s="10" t="s">
        <v>281</v>
      </c>
      <c r="D522" s="9" t="s">
        <v>312</v>
      </c>
      <c r="E522" s="11">
        <v>5.5749000000000004</v>
      </c>
      <c r="F522" s="7">
        <v>32890970</v>
      </c>
      <c r="G522" s="7">
        <v>774933.17999999993</v>
      </c>
      <c r="H522" s="7">
        <v>2431759.6115249996</v>
      </c>
      <c r="I522" s="7">
        <v>45263590.351964727</v>
      </c>
      <c r="J522" s="7">
        <v>252339989.85316819</v>
      </c>
    </row>
    <row r="523" spans="1:10" ht="27.6" outlineLevel="1" x14ac:dyDescent="0.3">
      <c r="A523" s="8">
        <v>34</v>
      </c>
      <c r="B523" s="9" t="s">
        <v>490</v>
      </c>
      <c r="C523" s="10" t="s">
        <v>282</v>
      </c>
      <c r="D523" s="9" t="s">
        <v>491</v>
      </c>
      <c r="E523" s="11">
        <v>60</v>
      </c>
      <c r="F523" s="7">
        <v>3732186.1605000002</v>
      </c>
      <c r="G523" s="7">
        <v>336560.00000000006</v>
      </c>
      <c r="H523" s="7">
        <v>79671.484199999992</v>
      </c>
      <c r="I523" s="7">
        <v>5201784.8901466355</v>
      </c>
      <c r="J523" s="7">
        <v>312107093.4087981</v>
      </c>
    </row>
    <row r="524" spans="1:10" ht="27.6" outlineLevel="1" x14ac:dyDescent="0.3">
      <c r="A524" s="8">
        <v>35</v>
      </c>
      <c r="B524" s="9" t="s">
        <v>492</v>
      </c>
      <c r="C524" s="10" t="s">
        <v>283</v>
      </c>
      <c r="D524" s="9" t="s">
        <v>493</v>
      </c>
      <c r="E524" s="11">
        <v>268</v>
      </c>
      <c r="F524" s="7">
        <v>425913.31</v>
      </c>
      <c r="G524" s="7">
        <v>461662.32</v>
      </c>
      <c r="H524" s="7">
        <v>0</v>
      </c>
      <c r="I524" s="7">
        <v>1112949.0558635076</v>
      </c>
      <c r="J524" s="7">
        <v>298270346.97142005</v>
      </c>
    </row>
    <row r="525" spans="1:10" ht="13.8" outlineLevel="1" x14ac:dyDescent="0.3">
      <c r="A525" s="3"/>
      <c r="B525" s="4"/>
      <c r="C525" s="4" t="s">
        <v>284</v>
      </c>
      <c r="D525" s="4"/>
      <c r="E525" s="12"/>
      <c r="F525" s="13"/>
      <c r="G525" s="13"/>
      <c r="H525" s="13"/>
      <c r="I525" s="13"/>
      <c r="J525" s="13">
        <v>2954175574.8866587</v>
      </c>
    </row>
    <row r="526" spans="1:10" ht="13.8" x14ac:dyDescent="0.3">
      <c r="A526" s="3"/>
      <c r="B526" s="4" t="s">
        <v>310</v>
      </c>
      <c r="C526" s="5" t="s">
        <v>285</v>
      </c>
      <c r="D526" s="4">
        <v>0</v>
      </c>
      <c r="E526" s="6">
        <v>0</v>
      </c>
      <c r="F526" s="7"/>
      <c r="G526" s="7"/>
      <c r="H526" s="7"/>
      <c r="I526" s="7"/>
      <c r="J526" s="7"/>
    </row>
    <row r="527" spans="1:10" ht="27.6" outlineLevel="1" x14ac:dyDescent="0.3">
      <c r="A527" s="8">
        <v>36</v>
      </c>
      <c r="B527" s="9" t="s">
        <v>494</v>
      </c>
      <c r="C527" s="10" t="s">
        <v>286</v>
      </c>
      <c r="D527" s="9" t="s">
        <v>312</v>
      </c>
      <c r="E527" s="11">
        <v>1.2259</v>
      </c>
      <c r="F527" s="7">
        <v>0</v>
      </c>
      <c r="G527" s="7">
        <v>1012038.52</v>
      </c>
      <c r="H527" s="7">
        <v>1029794.64</v>
      </c>
      <c r="I527" s="7">
        <v>2560295.9464454902</v>
      </c>
      <c r="J527" s="7">
        <v>3138666.8007475263</v>
      </c>
    </row>
    <row r="528" spans="1:10" ht="41.4" outlineLevel="1" x14ac:dyDescent="0.3">
      <c r="A528" s="8">
        <v>37</v>
      </c>
      <c r="B528" s="9" t="s">
        <v>495</v>
      </c>
      <c r="C528" s="10" t="s">
        <v>287</v>
      </c>
      <c r="D528" s="9" t="s">
        <v>312</v>
      </c>
      <c r="E528" s="11">
        <v>1.1144545454545454</v>
      </c>
      <c r="F528" s="7">
        <v>0</v>
      </c>
      <c r="G528" s="7">
        <v>268610.76</v>
      </c>
      <c r="H528" s="7">
        <v>422822.174</v>
      </c>
      <c r="I528" s="7">
        <v>867001.75745951349</v>
      </c>
      <c r="J528" s="7">
        <v>966234.04951783409</v>
      </c>
    </row>
    <row r="529" spans="1:10" ht="41.4" outlineLevel="1" x14ac:dyDescent="0.3">
      <c r="A529" s="8">
        <v>38</v>
      </c>
      <c r="B529" s="9" t="s">
        <v>495</v>
      </c>
      <c r="C529" s="10" t="s">
        <v>288</v>
      </c>
      <c r="D529" s="9" t="s">
        <v>312</v>
      </c>
      <c r="E529" s="11">
        <v>14.771445454545454</v>
      </c>
      <c r="F529" s="7">
        <v>0</v>
      </c>
      <c r="G529" s="7">
        <v>268610.76</v>
      </c>
      <c r="H529" s="7">
        <v>422822.174</v>
      </c>
      <c r="I529" s="7">
        <v>867001.75745951349</v>
      </c>
      <c r="J529" s="7">
        <v>12806869.169308251</v>
      </c>
    </row>
    <row r="530" spans="1:10" ht="13.8" outlineLevel="1" x14ac:dyDescent="0.3">
      <c r="A530" s="8">
        <v>39</v>
      </c>
      <c r="B530" s="9" t="s">
        <v>496</v>
      </c>
      <c r="C530" s="10" t="s">
        <v>289</v>
      </c>
      <c r="D530" s="9" t="s">
        <v>325</v>
      </c>
      <c r="E530" s="11">
        <v>133.63999999999999</v>
      </c>
      <c r="F530" s="7">
        <v>299604.467</v>
      </c>
      <c r="G530" s="7">
        <v>420700</v>
      </c>
      <c r="H530" s="7">
        <v>0</v>
      </c>
      <c r="I530" s="7">
        <v>903204.35733675666</v>
      </c>
      <c r="J530" s="7">
        <v>120704230.31448415</v>
      </c>
    </row>
    <row r="531" spans="1:10" ht="13.8" outlineLevel="1" x14ac:dyDescent="0.3">
      <c r="A531" s="8">
        <v>40</v>
      </c>
      <c r="B531" s="9" t="s">
        <v>497</v>
      </c>
      <c r="C531" s="10" t="s">
        <v>290</v>
      </c>
      <c r="D531" s="9" t="s">
        <v>325</v>
      </c>
      <c r="E531" s="11">
        <v>44.68</v>
      </c>
      <c r="F531" s="7">
        <v>387564.89999999997</v>
      </c>
      <c r="G531" s="7">
        <v>482777.48</v>
      </c>
      <c r="H531" s="7">
        <v>0</v>
      </c>
      <c r="I531" s="7">
        <v>1091339.9347151949</v>
      </c>
      <c r="J531" s="7">
        <v>48761068.283074908</v>
      </c>
    </row>
    <row r="532" spans="1:10" ht="27.6" outlineLevel="1" x14ac:dyDescent="0.3">
      <c r="A532" s="8">
        <v>41</v>
      </c>
      <c r="B532" s="9" t="s">
        <v>498</v>
      </c>
      <c r="C532" s="10" t="s">
        <v>291</v>
      </c>
      <c r="D532" s="9" t="s">
        <v>345</v>
      </c>
      <c r="E532" s="11">
        <v>9.6548999999999996</v>
      </c>
      <c r="F532" s="7">
        <v>3448573.38</v>
      </c>
      <c r="G532" s="7">
        <v>354590</v>
      </c>
      <c r="H532" s="7">
        <v>0</v>
      </c>
      <c r="I532" s="7">
        <v>4768863.5762404446</v>
      </c>
      <c r="J532" s="7">
        <v>46042900.942243867</v>
      </c>
    </row>
    <row r="533" spans="1:10" ht="27.6" outlineLevel="1" x14ac:dyDescent="0.3">
      <c r="A533" s="8">
        <v>42</v>
      </c>
      <c r="B533" s="9" t="s">
        <v>499</v>
      </c>
      <c r="C533" s="10" t="s">
        <v>292</v>
      </c>
      <c r="D533" s="9" t="s">
        <v>325</v>
      </c>
      <c r="E533" s="11">
        <v>101.13</v>
      </c>
      <c r="F533" s="7">
        <v>969502.72392050002</v>
      </c>
      <c r="G533" s="7">
        <v>338002.77</v>
      </c>
      <c r="H533" s="7">
        <v>61812.876999999993</v>
      </c>
      <c r="I533" s="7">
        <v>1717016.0339942263</v>
      </c>
      <c r="J533" s="7">
        <v>173641831.51783609</v>
      </c>
    </row>
    <row r="534" spans="1:10" ht="13.8" outlineLevel="1" x14ac:dyDescent="0.3">
      <c r="A534" s="8">
        <v>43</v>
      </c>
      <c r="B534" s="9" t="s">
        <v>344</v>
      </c>
      <c r="C534" s="10" t="s">
        <v>293</v>
      </c>
      <c r="D534" s="9" t="s">
        <v>345</v>
      </c>
      <c r="E534" s="11">
        <v>1.0112999999999999</v>
      </c>
      <c r="F534" s="7">
        <v>1302754.74</v>
      </c>
      <c r="G534" s="7">
        <v>3995962.25</v>
      </c>
      <c r="H534" s="7">
        <v>391620.88079999998</v>
      </c>
      <c r="I534" s="7">
        <v>7135229.8855380043</v>
      </c>
      <c r="J534" s="7">
        <v>7215857.983244583</v>
      </c>
    </row>
    <row r="535" spans="1:10" ht="27.6" outlineLevel="1" x14ac:dyDescent="0.3">
      <c r="A535" s="8">
        <v>44</v>
      </c>
      <c r="B535" s="9" t="s">
        <v>500</v>
      </c>
      <c r="C535" s="10" t="s">
        <v>294</v>
      </c>
      <c r="D535" s="9" t="s">
        <v>325</v>
      </c>
      <c r="E535" s="11">
        <v>160.32</v>
      </c>
      <c r="F535" s="7">
        <v>1007898.8714025001</v>
      </c>
      <c r="G535" s="7">
        <v>748245.00000000012</v>
      </c>
      <c r="H535" s="7">
        <v>90247.92</v>
      </c>
      <c r="I535" s="7">
        <v>2315228.0566733708</v>
      </c>
      <c r="J535" s="7">
        <v>371177362.04587477</v>
      </c>
    </row>
    <row r="536" spans="1:10" ht="13.8" outlineLevel="1" x14ac:dyDescent="0.3">
      <c r="A536" s="8">
        <v>45</v>
      </c>
      <c r="B536" s="9" t="s">
        <v>501</v>
      </c>
      <c r="C536" s="10" t="s">
        <v>295</v>
      </c>
      <c r="D536" s="9" t="s">
        <v>345</v>
      </c>
      <c r="E536" s="11">
        <v>6.4127999999999998</v>
      </c>
      <c r="F536" s="7">
        <v>2345509.1205000002</v>
      </c>
      <c r="G536" s="7">
        <v>6677334.4699999997</v>
      </c>
      <c r="H536" s="7">
        <v>495159.16319999995</v>
      </c>
      <c r="I536" s="7">
        <v>11934816.392420193</v>
      </c>
      <c r="J536" s="7">
        <v>76535590.561312214</v>
      </c>
    </row>
    <row r="537" spans="1:10" ht="41.4" outlineLevel="1" x14ac:dyDescent="0.3">
      <c r="A537" s="8">
        <v>46</v>
      </c>
      <c r="B537" s="9" t="s">
        <v>502</v>
      </c>
      <c r="C537" s="10" t="s">
        <v>296</v>
      </c>
      <c r="D537" s="9" t="s">
        <v>503</v>
      </c>
      <c r="E537" s="11">
        <v>45.53</v>
      </c>
      <c r="F537" s="7">
        <v>123725</v>
      </c>
      <c r="G537" s="7">
        <v>409156.592</v>
      </c>
      <c r="H537" s="7">
        <v>0</v>
      </c>
      <c r="I537" s="7">
        <v>668191.01906103804</v>
      </c>
      <c r="J537" s="7">
        <v>30422737.097849064</v>
      </c>
    </row>
    <row r="538" spans="1:10" ht="13.8" outlineLevel="1" x14ac:dyDescent="0.3">
      <c r="A538" s="8">
        <v>47</v>
      </c>
      <c r="B538" s="9" t="s">
        <v>414</v>
      </c>
      <c r="C538" s="10" t="s">
        <v>297</v>
      </c>
      <c r="D538" s="9" t="s">
        <v>345</v>
      </c>
      <c r="E538" s="11">
        <v>1.0588</v>
      </c>
      <c r="F538" s="7">
        <v>264528</v>
      </c>
      <c r="G538" s="7">
        <v>45075</v>
      </c>
      <c r="H538" s="7">
        <v>0</v>
      </c>
      <c r="I538" s="7">
        <v>388217.47116075002</v>
      </c>
      <c r="J538" s="7">
        <v>411044.65846500208</v>
      </c>
    </row>
    <row r="539" spans="1:10" ht="13.8" outlineLevel="1" x14ac:dyDescent="0.3">
      <c r="A539" s="3"/>
      <c r="B539" s="4"/>
      <c r="C539" s="4" t="s">
        <v>298</v>
      </c>
      <c r="D539" s="4"/>
      <c r="E539" s="12"/>
      <c r="F539" s="13"/>
      <c r="G539" s="13"/>
      <c r="H539" s="13"/>
      <c r="I539" s="13"/>
      <c r="J539" s="13">
        <v>891824393.4239583</v>
      </c>
    </row>
    <row r="540" spans="1:10" ht="13.2" outlineLevel="1" x14ac:dyDescent="0.3">
      <c r="A540" s="14"/>
      <c r="B540" s="15"/>
      <c r="C540" s="16" t="s">
        <v>242</v>
      </c>
      <c r="D540" s="16"/>
      <c r="E540" s="17"/>
      <c r="F540" s="18"/>
      <c r="G540" s="18"/>
      <c r="H540" s="18"/>
      <c r="I540" s="18"/>
      <c r="J540" s="19">
        <v>3845999968</v>
      </c>
    </row>
    <row r="541" spans="1:10" ht="30" customHeight="1" outlineLevel="1" x14ac:dyDescent="0.3">
      <c r="A541" s="20" t="s">
        <v>299</v>
      </c>
      <c r="B541" s="21"/>
      <c r="C541" s="22"/>
      <c r="D541" s="21"/>
      <c r="E541" s="23"/>
      <c r="F541" s="22"/>
      <c r="G541" s="22"/>
      <c r="H541" s="22"/>
      <c r="I541" s="22"/>
      <c r="J541" s="24"/>
    </row>
    <row r="542" spans="1:10" ht="26.25" customHeight="1" outlineLevel="1" x14ac:dyDescent="0.3">
      <c r="A542" s="25" t="s">
        <v>463</v>
      </c>
      <c r="B542" s="26"/>
      <c r="C542" s="27"/>
      <c r="D542" s="26"/>
      <c r="E542" s="27"/>
      <c r="F542" s="27"/>
      <c r="G542" s="27"/>
      <c r="H542" s="27"/>
      <c r="I542" s="27"/>
      <c r="J542" s="27"/>
    </row>
    <row r="543" spans="1:10" ht="30" customHeight="1" outlineLevel="1" x14ac:dyDescent="0.3">
      <c r="A543" s="28" t="s">
        <v>464</v>
      </c>
      <c r="B543" s="26"/>
      <c r="C543" s="27"/>
      <c r="D543" s="26"/>
      <c r="E543" s="27"/>
      <c r="F543" s="27"/>
      <c r="G543" s="27"/>
      <c r="H543" s="27"/>
      <c r="I543" s="27"/>
      <c r="J543" s="27"/>
    </row>
    <row r="544" spans="1:10" ht="37.5" customHeight="1" outlineLevel="1" x14ac:dyDescent="0.3">
      <c r="A544" s="29" t="s">
        <v>504</v>
      </c>
      <c r="B544" s="26"/>
      <c r="C544" s="27"/>
      <c r="D544" s="26"/>
      <c r="E544" s="27"/>
      <c r="F544" s="27"/>
      <c r="G544" s="27"/>
      <c r="H544" s="27"/>
      <c r="I544" s="27"/>
      <c r="J544" s="27"/>
    </row>
    <row r="545" spans="1:10" ht="30" customHeight="1" outlineLevel="1" x14ac:dyDescent="0.3">
      <c r="A545" s="1" t="s">
        <v>0</v>
      </c>
      <c r="B545" s="2" t="s">
        <v>1</v>
      </c>
      <c r="C545" s="2" t="s">
        <v>2</v>
      </c>
      <c r="D545" s="2" t="s">
        <v>3</v>
      </c>
      <c r="E545" s="2" t="s">
        <v>4</v>
      </c>
      <c r="F545" s="2" t="s">
        <v>305</v>
      </c>
      <c r="G545" s="2" t="s">
        <v>306</v>
      </c>
      <c r="H545" s="2" t="s">
        <v>307</v>
      </c>
      <c r="I545" s="2" t="s">
        <v>308</v>
      </c>
      <c r="J545" s="2" t="s">
        <v>309</v>
      </c>
    </row>
    <row r="546" spans="1:10" ht="27.6" outlineLevel="1" x14ac:dyDescent="0.3">
      <c r="A546" s="8">
        <v>1</v>
      </c>
      <c r="B546" s="9" t="s">
        <v>505</v>
      </c>
      <c r="C546" s="10" t="s">
        <v>300</v>
      </c>
      <c r="D546" s="9" t="s">
        <v>506</v>
      </c>
      <c r="E546" s="11">
        <v>0</v>
      </c>
      <c r="F546" s="7">
        <v>0</v>
      </c>
      <c r="G546" s="7">
        <v>0</v>
      </c>
      <c r="H546" s="7">
        <v>26238.12</v>
      </c>
      <c r="I546" s="7">
        <v>32900.509989929997</v>
      </c>
      <c r="J546" s="7">
        <v>0</v>
      </c>
    </row>
    <row r="547" spans="1:10" ht="27.6" outlineLevel="1" x14ac:dyDescent="0.3">
      <c r="A547" s="8">
        <v>2</v>
      </c>
      <c r="B547" s="9" t="s">
        <v>507</v>
      </c>
      <c r="C547" s="10" t="s">
        <v>301</v>
      </c>
      <c r="D547" s="9" t="s">
        <v>312</v>
      </c>
      <c r="E547" s="11">
        <v>0</v>
      </c>
      <c r="F547" s="7">
        <v>0</v>
      </c>
      <c r="G547" s="7">
        <v>0</v>
      </c>
      <c r="H547" s="7">
        <v>967717.31400000001</v>
      </c>
      <c r="I547" s="7">
        <v>1213440.3363002085</v>
      </c>
      <c r="J547" s="7">
        <v>0</v>
      </c>
    </row>
    <row r="548" spans="1:10" ht="13.2" outlineLevel="1" x14ac:dyDescent="0.3">
      <c r="A548" s="14"/>
      <c r="B548" s="15"/>
      <c r="C548" s="16" t="s">
        <v>242</v>
      </c>
      <c r="D548" s="16"/>
      <c r="E548" s="17"/>
      <c r="F548" s="18"/>
      <c r="G548" s="18"/>
      <c r="H548" s="18"/>
      <c r="I548" s="18"/>
      <c r="J548" s="19">
        <v>0</v>
      </c>
    </row>
    <row r="549" spans="1:10" ht="15" customHeight="1" outlineLevel="1" x14ac:dyDescent="0.3">
      <c r="A549" s="14"/>
      <c r="B549" s="15"/>
      <c r="C549" s="16" t="s">
        <v>302</v>
      </c>
      <c r="D549" s="16"/>
      <c r="E549" s="17"/>
      <c r="F549" s="18"/>
      <c r="G549" s="18"/>
      <c r="H549" s="18"/>
      <c r="I549" s="18"/>
      <c r="J549" s="19">
        <v>176261586585</v>
      </c>
    </row>
    <row r="550" spans="1:10" ht="15" customHeight="1" outlineLevel="1" x14ac:dyDescent="0.3">
      <c r="A550" s="30"/>
      <c r="B550" s="16"/>
      <c r="C550" s="16" t="s">
        <v>303</v>
      </c>
      <c r="D550" s="16"/>
      <c r="E550" s="17"/>
      <c r="F550" s="18"/>
      <c r="G550" s="18"/>
      <c r="H550" s="18"/>
      <c r="I550" s="18"/>
      <c r="J550" s="19">
        <v>176261587000</v>
      </c>
    </row>
    <row r="551" spans="1:10" ht="30" customHeight="1" outlineLevel="1" x14ac:dyDescent="0.3">
      <c r="A551" s="20" t="s">
        <v>304</v>
      </c>
      <c r="B551" s="21"/>
      <c r="C551" s="22"/>
      <c r="D551" s="21"/>
      <c r="E551" s="23"/>
      <c r="F551" s="22"/>
      <c r="G551" s="22"/>
      <c r="H551" s="22"/>
      <c r="I551" s="22"/>
      <c r="J551" s="24"/>
    </row>
    <row r="552" spans="1:10" ht="15" customHeight="1" x14ac:dyDescent="0.3"/>
  </sheetData>
  <mergeCells count="13">
    <mergeCell ref="A542:J542"/>
    <mergeCell ref="A543:J543"/>
    <mergeCell ref="A544:J544"/>
    <mergeCell ref="A551:J551"/>
    <mergeCell ref="A404:J404"/>
    <mergeCell ref="A405:J405"/>
    <mergeCell ref="A406:J406"/>
    <mergeCell ref="A407:J407"/>
    <mergeCell ref="A484:J484"/>
    <mergeCell ref="A485:J485"/>
    <mergeCell ref="A486:J486"/>
    <mergeCell ref="A487:J487"/>
    <mergeCell ref="A541:J5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2015-06-05T18:17:20Z</dcterms:created>
  <dcterms:modified xsi:type="dcterms:W3CDTF">2026-03-21T09:47:06Z</dcterms:modified>
</cp:coreProperties>
</file>